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pivotTables/pivotTable11.xml" ContentType="application/vnd.openxmlformats-officedocument.spreadsheetml.pivotTable+xml"/>
  <Override PartName="/xl/drawings/drawing9.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10.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ml.chartshapes+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drawings/drawing12.xml" ContentType="application/vnd.openxmlformats-officedocument.drawingml.chartshapes+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hidePivotFieldList="1"/>
  <mc:AlternateContent xmlns:mc="http://schemas.openxmlformats.org/markup-compatibility/2006">
    <mc:Choice Requires="x15">
      <x15ac:absPath xmlns:x15ac="http://schemas.microsoft.com/office/spreadsheetml/2010/11/ac" url="C:\Users\radhi\Downloads\"/>
    </mc:Choice>
  </mc:AlternateContent>
  <xr:revisionPtr revIDLastSave="0" documentId="13_ncr:1_{A260BA29-588B-4EAC-8A47-694471482CE9}" xr6:coauthVersionLast="43" xr6:coauthVersionMax="43" xr10:uidLastSave="{00000000-0000-0000-0000-000000000000}"/>
  <bookViews>
    <workbookView xWindow="-108" yWindow="-108" windowWidth="23256" windowHeight="12456" activeTab="10" xr2:uid="{00000000-000D-0000-FFFF-FFFF00000000}"/>
  </bookViews>
  <sheets>
    <sheet name="Data" sheetId="1" r:id="rId1"/>
    <sheet name="KPI" sheetId="21" r:id="rId2"/>
    <sheet name="Images" sheetId="2" r:id="rId3"/>
    <sheet name="Rating" sheetId="11" r:id="rId4"/>
    <sheet name="education" sheetId="15" r:id="rId5"/>
    <sheet name="job" sheetId="16" r:id="rId6"/>
    <sheet name="dept" sheetId="17" r:id="rId7"/>
    <sheet name="age" sheetId="18" r:id="rId8"/>
    <sheet name="gender" sheetId="14" r:id="rId9"/>
    <sheet name="marital status" sheetId="19" r:id="rId10"/>
    <sheet name="Dashboard" sheetId="4" r:id="rId11"/>
  </sheets>
  <definedNames>
    <definedName name="_xlchart.v1.0" hidden="1">job!$D$4:$D$12</definedName>
    <definedName name="_xlchart.v1.1" hidden="1">job!$E$4:$E$12</definedName>
    <definedName name="_xlchart.v1.8" hidden="1">job!$D$4:$D$12</definedName>
    <definedName name="_xlchart.v1.9" hidden="1">job!$E$4:$E$12</definedName>
    <definedName name="_xlchart.v2.2" hidden="1">'marital status'!$D$4:$D$6</definedName>
    <definedName name="_xlchart.v2.3" hidden="1">'marital status'!$E$3</definedName>
    <definedName name="_xlchart.v2.4" hidden="1">'marital status'!$E$4:$E$6</definedName>
    <definedName name="_xlchart.v2.5" hidden="1">'marital status'!$D$4:$D$6</definedName>
    <definedName name="_xlchart.v2.6" hidden="1">'marital status'!$E$3</definedName>
    <definedName name="_xlchart.v2.7" hidden="1">'marital status'!$E$4:$E$6</definedName>
    <definedName name="Slicer_Department">#N/A</definedName>
    <definedName name="Slicer_Education_Field">#N/A</definedName>
    <definedName name="Slicer_Gender1">#N/A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 uri="GoogleSheetsCustomDataVersion2">
      <go:sheetsCustomData xmlns:go="http://customooxmlschemas.google.com/" r:id="rId16" roundtripDataChecksum="0W7NtiAel2xy0cZdwUBcRsMoEuXg6pzXui43o1bypBA="/>
    </ext>
  </extLst>
</workbook>
</file>

<file path=xl/calcChain.xml><?xml version="1.0" encoding="utf-8"?>
<calcChain xmlns="http://schemas.openxmlformats.org/spreadsheetml/2006/main">
  <c r="D6" i="19" l="1"/>
  <c r="D5" i="19"/>
  <c r="D4" i="19"/>
  <c r="B10" i="21"/>
  <c r="B7" i="21"/>
  <c r="B4" i="21"/>
  <c r="E6" i="19"/>
  <c r="E5" i="19"/>
  <c r="E4" i="19"/>
  <c r="B12" i="21" l="1"/>
  <c r="B15" i="21"/>
  <c r="D5" i="16"/>
  <c r="D6" i="16"/>
  <c r="D7" i="16"/>
  <c r="D8" i="16"/>
  <c r="D9" i="16"/>
  <c r="D10" i="16"/>
  <c r="D11" i="16"/>
  <c r="D12" i="16"/>
  <c r="D4" i="16"/>
  <c r="E5" i="16"/>
  <c r="E4" i="16"/>
  <c r="E6" i="16"/>
  <c r="E7" i="16"/>
  <c r="E8" i="16"/>
  <c r="E9" i="16"/>
  <c r="E10" i="16"/>
  <c r="E11" i="16"/>
  <c r="E12" i="16"/>
  <c r="B8" i="14"/>
  <c r="B9" i="14"/>
  <c r="C6" i="17"/>
  <c r="C5" i="17"/>
  <c r="C4" i="17"/>
  <c r="C8" i="14" l="1"/>
  <c r="C9" i="14"/>
  <c r="B6" i="11"/>
  <c r="C6" i="11" l="1"/>
  <c r="B7" i="11"/>
  <c r="C7" i="11" s="1"/>
</calcChain>
</file>

<file path=xl/sharedStrings.xml><?xml version="1.0" encoding="utf-8"?>
<sst xmlns="http://schemas.openxmlformats.org/spreadsheetml/2006/main" count="19213" uniqueCount="1569">
  <si>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</si>
  <si>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</si>
  <si>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</si>
  <si>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</si>
  <si>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</si>
  <si>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</si>
  <si>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</si>
  <si>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</si>
  <si>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</si>
  <si>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</si>
  <si>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</si>
  <si>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</si>
  <si>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</si>
  <si>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</si>
  <si>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</si>
  <si>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</si>
  <si>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</si>
  <si>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</si>
  <si>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</si>
  <si>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</si>
  <si>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</si>
  <si>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</si>
  <si>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</si>
  <si>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</si>
  <si>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</si>
  <si>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</si>
  <si>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</si>
  <si>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</si>
  <si>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</si>
  <si>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</si>
  <si>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</si>
  <si>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</si>
  <si>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</si>
  <si>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</si>
  <si>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</si>
  <si>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</si>
  <si>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</si>
  <si>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</si>
  <si>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</si>
  <si>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</si>
  <si>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</si>
  <si>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</si>
  <si>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</si>
  <si>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</si>
  <si>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</si>
  <si>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</si>
  <si>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</si>
  <si>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</si>
  <si>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</si>
  <si>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</si>
  <si>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</si>
  <si>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</si>
  <si>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</si>
  <si>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</si>
  <si>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</si>
  <si>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</si>
  <si>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</si>
  <si>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</si>
  <si>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</si>
  <si>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</si>
  <si>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</si>
  <si>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</si>
  <si>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</si>
  <si>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</si>
  <si>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</si>
  <si>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</si>
  <si>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</si>
  <si>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</si>
  <si>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</si>
  <si>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</si>
  <si>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</si>
  <si>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</si>
  <si>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</si>
  <si>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</si>
  <si>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</si>
  <si>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</si>
  <si>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</si>
  <si>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</si>
  <si>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</si>
  <si>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</si>
  <si>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</si>
  <si>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</si>
  <si>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</si>
  <si>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</si>
  <si>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</si>
  <si>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</si>
  <si>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</si>
  <si>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</si>
  <si>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</si>
  <si>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</si>
  <si>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</si>
  <si>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</si>
  <si>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</si>
  <si>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</si>
  <si>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</si>
  <si>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</si>
  <si>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</si>
  <si>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</si>
  <si>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</si>
  <si>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</si>
  <si>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</si>
  <si>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</si>
  <si>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</si>
  <si>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</si>
  <si>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</si>
  <si>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</si>
  <si>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</si>
  <si>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</si>
  <si>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</si>
  <si>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</si>
  <si>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</si>
  <si>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</si>
  <si>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</si>
  <si>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</si>
  <si>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</si>
  <si>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</si>
  <si>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</si>
  <si>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</si>
  <si>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</si>
  <si>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</si>
  <si>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</si>
  <si>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</si>
  <si>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</si>
  <si>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</si>
  <si>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</si>
  <si>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</si>
  <si>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</si>
  <si>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</si>
  <si>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</si>
  <si>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</si>
  <si>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</si>
  <si>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</si>
  <si>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</si>
  <si>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</si>
  <si>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</si>
  <si>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</si>
  <si>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</si>
  <si>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</si>
  <si>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</si>
  <si>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</si>
  <si>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</si>
  <si>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</si>
  <si>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</si>
  <si>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</si>
  <si>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</si>
  <si>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</si>
  <si>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</si>
  <si>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</si>
  <si>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</si>
  <si>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</si>
  <si>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</si>
  <si>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</si>
  <si>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</si>
  <si>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</si>
  <si>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</si>
  <si>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</si>
  <si>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</si>
  <si>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</si>
  <si>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</si>
  <si>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</si>
  <si>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</si>
  <si>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</si>
  <si>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</si>
  <si>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</si>
  <si>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</si>
  <si>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</si>
  <si>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</si>
  <si>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</si>
  <si>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</si>
  <si>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</si>
  <si>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</si>
  <si>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</si>
  <si>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</si>
  <si>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</si>
  <si>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</si>
  <si>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</si>
  <si>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</si>
  <si>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</si>
  <si>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</si>
  <si>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</si>
  <si>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</si>
  <si>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</si>
  <si>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</si>
  <si>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</si>
  <si>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</si>
  <si>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</si>
  <si>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</si>
  <si>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</si>
  <si>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</si>
  <si>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</si>
  <si>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</si>
  <si>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</si>
  <si>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</si>
  <si>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</si>
  <si>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</si>
  <si>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</si>
  <si>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</si>
  <si>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</si>
  <si>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</si>
  <si>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</si>
  <si>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</si>
  <si>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</si>
  <si>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</si>
  <si>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</si>
  <si>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</si>
  <si>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</si>
  <si>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</si>
  <si>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</si>
  <si>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</si>
  <si>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</si>
  <si>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</si>
  <si>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</si>
  <si>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</si>
  <si>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</si>
  <si>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</si>
  <si>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</si>
  <si>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</si>
  <si>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</si>
  <si>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</si>
  <si>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</si>
  <si>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</si>
  <si>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</si>
  <si>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</si>
  <si>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</si>
  <si>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</si>
  <si>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</si>
  <si>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</si>
  <si>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</si>
  <si>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</si>
  <si>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</si>
  <si>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</si>
  <si>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</si>
  <si>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</si>
  <si>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</si>
  <si>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</si>
  <si>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</si>
  <si>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</si>
  <si>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</si>
  <si>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</si>
  <si>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</si>
  <si>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</si>
  <si>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</si>
  <si>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</si>
  <si>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</si>
  <si>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</si>
  <si>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</si>
  <si>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</si>
  <si>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</si>
  <si>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</si>
  <si>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</si>
  <si>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</si>
  <si>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</si>
  <si>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</si>
  <si>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</si>
  <si>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</si>
  <si>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</si>
  <si>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</si>
  <si>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</si>
  <si>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</si>
  <si>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</si>
  <si>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</si>
  <si>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</si>
  <si>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</si>
  <si>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</si>
  <si>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</si>
  <si>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</si>
  <si>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</si>
  <si>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</si>
  <si>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</si>
  <si>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</si>
  <si>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</si>
  <si>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</si>
  <si>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</si>
  <si>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</si>
  <si>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</si>
  <si>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</si>
  <si>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</si>
  <si>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</si>
  <si>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</si>
  <si>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</si>
  <si>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</si>
  <si>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</si>
  <si>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</si>
  <si>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</si>
  <si>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</si>
  <si>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</si>
  <si>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</si>
  <si>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</si>
  <si>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</si>
  <si>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</si>
  <si>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</si>
  <si>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</si>
  <si>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</si>
  <si>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</si>
  <si>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</si>
  <si>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</si>
  <si>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</si>
  <si>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</si>
  <si>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</si>
  <si>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</si>
  <si>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</si>
  <si>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</si>
  <si>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</si>
  <si>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</si>
  <si>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</si>
  <si>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</si>
  <si>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</si>
  <si>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</si>
  <si>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</si>
  <si>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</si>
  <si>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</si>
  <si>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</si>
  <si>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</si>
  <si>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</si>
  <si>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</si>
  <si>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</si>
  <si>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</si>
  <si>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</si>
  <si>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</si>
  <si>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</si>
  <si>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</si>
  <si>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</si>
  <si>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</si>
  <si>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</si>
  <si>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</si>
  <si>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</si>
  <si>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</si>
  <si>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</si>
  <si>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</si>
  <si>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</si>
  <si>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</si>
  <si>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</si>
  <si>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</si>
  <si>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</si>
  <si>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</si>
  <si>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</si>
  <si>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</si>
  <si>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</si>
  <si>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</si>
  <si>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</si>
  <si>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</si>
  <si>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</si>
  <si>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</si>
  <si>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</si>
  <si>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</si>
  <si>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</si>
  <si>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</si>
  <si>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</si>
  <si>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</si>
  <si>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</si>
  <si>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</si>
  <si>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</si>
  <si>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</si>
  <si>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</si>
  <si>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</si>
  <si>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</si>
  <si>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</si>
  <si>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</si>
  <si>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</si>
  <si>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</si>
  <si>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</si>
  <si>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</si>
  <si>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</si>
  <si>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</si>
  <si>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</si>
  <si>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</si>
  <si>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</si>
  <si>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</si>
  <si>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</si>
  <si>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</si>
  <si>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</si>
  <si>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</si>
  <si>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</si>
  <si>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</si>
  <si>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</si>
  <si>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</si>
  <si>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</si>
  <si>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</si>
  <si>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</si>
  <si>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</si>
  <si>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</si>
  <si>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</si>
  <si>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</si>
  <si>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</si>
  <si>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</si>
  <si>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</si>
  <si>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</si>
  <si>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</si>
  <si>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</si>
  <si>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</si>
  <si>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</si>
  <si>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</si>
  <si>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</si>
  <si>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</si>
  <si>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</si>
  <si>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</si>
  <si>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</si>
  <si>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</si>
  <si>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</si>
  <si>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</si>
  <si>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</si>
  <si>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</si>
  <si>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</si>
  <si>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</si>
  <si>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</si>
  <si>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</si>
  <si>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</si>
  <si>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</si>
  <si>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</si>
  <si>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</si>
  <si>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</si>
  <si>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</si>
  <si>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</si>
  <si>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</si>
  <si>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</si>
  <si>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</si>
  <si>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</si>
  <si>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</si>
  <si>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</si>
  <si>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</si>
  <si>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</si>
  <si>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</si>
  <si>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</si>
  <si>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</si>
  <si>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</si>
  <si>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</si>
  <si>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</si>
  <si>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</si>
  <si>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</si>
  <si>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</si>
  <si>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</si>
  <si>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</si>
  <si>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</si>
  <si>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</si>
  <si>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</si>
  <si>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</si>
  <si>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</si>
  <si>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</si>
  <si>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</si>
  <si>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</si>
  <si>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</si>
  <si>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</si>
  <si>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</si>
  <si>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</si>
  <si>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</si>
  <si>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</si>
  <si>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</si>
  <si>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</si>
  <si>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</si>
  <si>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</si>
  <si>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</si>
  <si>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</si>
  <si>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</si>
  <si>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</si>
  <si>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</si>
  <si>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</si>
  <si>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</si>
  <si>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</si>
  <si>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</si>
  <si>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</si>
  <si>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</si>
  <si>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</si>
  <si>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</si>
  <si>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</si>
  <si>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</si>
  <si>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</si>
  <si>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</si>
  <si>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</si>
  <si>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</si>
  <si>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</si>
  <si>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</si>
  <si>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</si>
  <si>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</si>
  <si>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</si>
  <si>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</si>
  <si>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</si>
  <si>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</si>
  <si>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</si>
  <si>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</si>
  <si>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</si>
  <si>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</si>
  <si>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</si>
  <si>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</si>
  <si>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</si>
  <si>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</si>
  <si>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</si>
  <si>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</si>
  <si>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</si>
  <si>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</si>
  <si>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</si>
  <si>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</si>
  <si>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</si>
  <si>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</si>
  <si>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</si>
  <si>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</si>
  <si>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</si>
  <si>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</si>
  <si>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</si>
  <si>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</si>
  <si>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</si>
  <si>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</si>
  <si>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</si>
  <si>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</si>
  <si>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</si>
  <si>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</si>
  <si>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</si>
  <si>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</si>
  <si>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</si>
  <si>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</si>
  <si>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</si>
  <si>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</si>
  <si>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</si>
  <si>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</si>
  <si>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</si>
  <si>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</si>
  <si>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</si>
  <si>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</si>
  <si>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</si>
  <si>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</si>
  <si>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</si>
  <si>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</si>
  <si>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</si>
  <si>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</si>
  <si>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</si>
  <si>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</si>
  <si>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</si>
  <si>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</si>
  <si>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</si>
  <si>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</si>
  <si>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</si>
  <si>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</si>
  <si>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</si>
  <si>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</si>
  <si>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</si>
  <si>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</si>
  <si>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</si>
  <si>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</si>
  <si>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</si>
  <si>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</si>
  <si>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</si>
  <si>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</si>
  <si>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</si>
  <si>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</si>
  <si>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</si>
  <si>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</si>
  <si>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</si>
  <si>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</si>
  <si>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</si>
  <si>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</si>
  <si>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</si>
  <si>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</si>
  <si>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</si>
  <si>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</si>
  <si>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</si>
  <si>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</si>
  <si>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</si>
  <si>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</si>
  <si>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</si>
  <si>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</si>
  <si>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</si>
  <si>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</si>
  <si>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</si>
  <si>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</si>
  <si>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</si>
  <si>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</si>
  <si>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</si>
  <si>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</si>
  <si>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</si>
  <si>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</si>
  <si>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</si>
  <si>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</si>
  <si>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</si>
  <si>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</si>
  <si>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</si>
  <si>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</si>
  <si>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</si>
  <si>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</si>
  <si>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</si>
  <si>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</si>
  <si>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</si>
  <si>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</si>
  <si>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</si>
  <si>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</si>
  <si>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</si>
  <si>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</si>
  <si>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</si>
  <si>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</si>
  <si>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</si>
  <si>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</si>
  <si>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</si>
  <si>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</si>
  <si>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</si>
  <si>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</si>
  <si>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</si>
  <si>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</si>
  <si>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</si>
  <si>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</si>
  <si>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</si>
  <si>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</si>
  <si>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</si>
  <si>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</si>
  <si>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</si>
  <si>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</si>
  <si>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</si>
  <si>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</si>
  <si>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</si>
  <si>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</si>
  <si>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</si>
  <si>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</si>
  <si>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</si>
  <si>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</si>
  <si>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</si>
  <si>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</si>
  <si>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</si>
  <si>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</si>
  <si>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</si>
  <si>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</si>
  <si>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</si>
  <si>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</si>
  <si>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</si>
  <si>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</si>
  <si>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</si>
  <si>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</si>
  <si>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</si>
  <si>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</si>
  <si>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</si>
  <si>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</si>
  <si>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</si>
  <si>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</si>
  <si>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</si>
  <si>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</si>
  <si>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</si>
  <si>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</si>
  <si>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</si>
  <si>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</si>
  <si>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</si>
  <si>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</si>
  <si>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</si>
  <si>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</si>
  <si>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</si>
  <si>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</si>
  <si>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</si>
  <si>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</si>
  <si>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</si>
  <si>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</si>
  <si>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</si>
  <si>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</si>
  <si>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</si>
  <si>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</si>
  <si>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</si>
  <si>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</si>
  <si>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</si>
  <si>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</si>
  <si>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</si>
  <si>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</si>
  <si>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</si>
  <si>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</si>
  <si>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</si>
  <si>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</si>
  <si>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</si>
  <si>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</si>
  <si>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</si>
  <si>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</si>
  <si>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</si>
  <si>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</si>
  <si>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</si>
  <si>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</si>
  <si>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</si>
  <si>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</si>
  <si>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</si>
  <si>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</si>
  <si>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</si>
  <si>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</si>
  <si>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</si>
  <si>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</si>
  <si>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</si>
  <si>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</si>
  <si>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</si>
  <si>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</si>
  <si>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</si>
  <si>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</si>
  <si>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</si>
  <si>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</si>
  <si>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</si>
  <si>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</si>
  <si>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</si>
  <si>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</si>
  <si>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</si>
  <si>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</si>
  <si>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</si>
  <si>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</si>
  <si>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</si>
  <si>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</si>
  <si>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</si>
  <si>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</si>
  <si>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</si>
  <si>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</si>
  <si>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</si>
  <si>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</si>
  <si>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</si>
  <si>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</si>
  <si>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</si>
  <si>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</si>
  <si>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</si>
  <si>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</si>
  <si>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</si>
  <si>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</si>
  <si>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</si>
  <si>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</si>
  <si>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</si>
  <si>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</si>
  <si>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</si>
  <si>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</si>
  <si>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</si>
  <si>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</si>
  <si>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</si>
  <si>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</si>
  <si>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</si>
  <si>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</si>
  <si>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</si>
  <si>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</si>
  <si>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</si>
  <si>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</si>
  <si>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</si>
  <si>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</si>
  <si>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</si>
  <si>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</si>
  <si>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</si>
  <si>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</si>
  <si>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</si>
  <si>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</si>
  <si>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</si>
  <si>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</si>
  <si>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</si>
  <si>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</si>
  <si>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</si>
  <si>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</si>
  <si>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</si>
  <si>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</si>
  <si>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</si>
  <si>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</si>
  <si>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</si>
  <si>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</si>
  <si>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</si>
  <si>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</si>
  <si>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</si>
  <si>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</si>
  <si>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</si>
  <si>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</si>
  <si>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</si>
  <si>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</si>
  <si>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</si>
  <si>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</si>
  <si>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</si>
  <si>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</si>
  <si>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</si>
  <si>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</si>
  <si>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</si>
  <si>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</si>
  <si>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</si>
  <si>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</si>
  <si>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</si>
  <si>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</si>
  <si>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</si>
  <si>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</si>
  <si>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</si>
  <si>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</si>
  <si>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</si>
  <si>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</si>
  <si>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</si>
  <si>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</si>
  <si>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</si>
  <si>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</si>
  <si>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</si>
  <si>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</si>
  <si>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</si>
  <si>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</si>
  <si>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</si>
  <si>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</si>
  <si>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</si>
  <si>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</si>
  <si>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</si>
  <si>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</si>
  <si>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</si>
  <si>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</si>
  <si>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</si>
  <si>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</si>
  <si>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</si>
  <si>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</si>
  <si>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</si>
  <si>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</si>
  <si>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</si>
  <si>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</si>
  <si>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</si>
  <si>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</si>
  <si>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</si>
  <si>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</si>
  <si>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</si>
  <si>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</si>
  <si>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</si>
  <si>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</si>
  <si>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</si>
  <si>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</si>
  <si>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</si>
  <si>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</si>
  <si>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</si>
  <si>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</si>
  <si>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</si>
  <si>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</si>
  <si>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</si>
  <si>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</si>
  <si>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</si>
  <si>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</si>
  <si>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</si>
  <si>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</si>
  <si>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</si>
  <si>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</si>
  <si>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</si>
  <si>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</si>
  <si>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</si>
  <si>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</si>
  <si>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</si>
  <si>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</si>
  <si>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</si>
  <si>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</si>
  <si>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</si>
  <si>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</si>
  <si>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</si>
  <si>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</si>
  <si>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</si>
  <si>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</si>
  <si>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</si>
  <si>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</si>
  <si>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</si>
  <si>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</si>
  <si>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</si>
  <si>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</si>
  <si>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</si>
  <si>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</si>
  <si>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</si>
  <si>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</si>
  <si>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</si>
  <si>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</si>
  <si>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</si>
  <si>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</si>
  <si>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</si>
  <si>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</si>
  <si>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</si>
  <si>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</si>
  <si>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</si>
  <si>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</si>
  <si>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</si>
  <si>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</si>
  <si>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</si>
  <si>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</si>
  <si>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</si>
  <si>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</si>
  <si>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</si>
  <si>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</si>
  <si>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</si>
  <si>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</si>
  <si>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</si>
  <si>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</si>
  <si>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</si>
  <si>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</si>
  <si>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</si>
  <si>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</si>
  <si>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</si>
  <si>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</si>
  <si>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</si>
  <si>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</si>
  <si>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</si>
  <si>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</si>
  <si>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</si>
  <si>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</si>
  <si>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</si>
  <si>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</si>
  <si>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</si>
  <si>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</si>
  <si>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</si>
  <si>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</si>
  <si>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</si>
  <si>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</si>
  <si>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</si>
  <si>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</si>
  <si>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</si>
  <si>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</si>
  <si>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</si>
  <si>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</si>
  <si>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</si>
  <si>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</si>
  <si>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</si>
  <si>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</si>
  <si>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</si>
  <si>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</si>
  <si>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</si>
  <si>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</si>
  <si>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</si>
  <si>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</si>
  <si>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</si>
  <si>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</si>
  <si>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</si>
  <si>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</si>
  <si>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</si>
  <si>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</si>
  <si>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</si>
  <si>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</si>
  <si>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</si>
  <si>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</si>
  <si>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</si>
  <si>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</si>
  <si>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</si>
  <si>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</si>
  <si>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</si>
  <si>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</si>
  <si>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</si>
  <si>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</si>
  <si>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</si>
  <si>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</si>
  <si>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</si>
  <si>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</si>
  <si>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</si>
  <si>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</si>
  <si>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</si>
  <si>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</si>
  <si>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</si>
  <si>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</si>
  <si>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</si>
  <si>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</si>
  <si>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</si>
  <si>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</si>
  <si>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</si>
  <si>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</si>
  <si>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</si>
  <si>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</si>
  <si>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</si>
  <si>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</si>
  <si>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</si>
  <si>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</si>
  <si>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</si>
  <si>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</si>
  <si>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</si>
  <si>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</si>
  <si>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</si>
  <si>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</si>
  <si>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</si>
  <si>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</si>
  <si>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</si>
  <si>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</si>
  <si>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</si>
  <si>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</si>
  <si>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</si>
  <si>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</si>
  <si>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</si>
  <si>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</si>
  <si>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</si>
  <si>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</si>
  <si>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</si>
  <si>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</si>
  <si>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</si>
  <si>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</si>
  <si>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</si>
  <si>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</si>
  <si>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</si>
  <si>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</si>
  <si>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</si>
  <si>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</si>
  <si>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</si>
  <si>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</si>
  <si>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</si>
  <si>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</si>
  <si>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</si>
  <si>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</si>
  <si>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</si>
  <si>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</si>
  <si>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</si>
  <si>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</si>
  <si>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</si>
  <si>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</si>
  <si>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</si>
  <si>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</si>
  <si>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</si>
  <si>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</si>
  <si>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</si>
  <si>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</si>
  <si>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</si>
  <si>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</si>
  <si>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</si>
  <si>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</si>
  <si>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</si>
  <si>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</si>
  <si>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</si>
  <si>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</si>
  <si>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</si>
  <si>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</si>
  <si>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</si>
  <si>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</si>
  <si>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</si>
  <si>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</si>
  <si>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</si>
  <si>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</si>
  <si>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</si>
  <si>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</si>
  <si>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</si>
  <si>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</si>
  <si>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</si>
  <si>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</si>
  <si>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</si>
  <si>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</si>
  <si>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</si>
  <si>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</si>
  <si>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</si>
  <si>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</si>
  <si>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</si>
  <si>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</si>
  <si>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</si>
  <si>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</si>
  <si>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</si>
  <si>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</si>
  <si>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</si>
  <si>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</si>
  <si>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</si>
  <si>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</si>
  <si>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</si>
  <si>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</si>
  <si>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</si>
  <si>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</si>
  <si>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</si>
  <si>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</si>
  <si>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</si>
  <si>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</si>
  <si>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</si>
  <si>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</si>
  <si>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</si>
  <si>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</si>
  <si>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</si>
  <si>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</si>
  <si>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</si>
  <si>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</si>
  <si>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</si>
  <si>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</si>
  <si>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</si>
  <si>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</si>
  <si>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</si>
  <si>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</si>
  <si>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</si>
  <si>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</si>
  <si>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</si>
  <si>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</si>
  <si>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</si>
  <si>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</si>
  <si>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</si>
  <si>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</si>
  <si>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</si>
  <si>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</si>
  <si>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</si>
  <si>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</si>
  <si>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</si>
  <si>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</si>
  <si>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</si>
  <si>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</si>
  <si>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</si>
  <si>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</si>
  <si>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</si>
  <si>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</si>
  <si>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</si>
  <si>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</si>
  <si>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</si>
  <si>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</si>
  <si>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</si>
  <si>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</si>
  <si>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</si>
  <si>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</si>
  <si>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</si>
  <si>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</si>
  <si>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</si>
  <si>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</si>
  <si>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</si>
  <si>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</si>
  <si>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</si>
  <si>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</si>
  <si>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</si>
  <si>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</si>
  <si>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</si>
  <si>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</si>
  <si>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</si>
  <si>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</si>
  <si>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</si>
  <si>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</si>
  <si>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</si>
  <si>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</si>
  <si>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</si>
  <si>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</si>
  <si>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</si>
  <si>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</si>
  <si>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</si>
  <si>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</si>
  <si>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</si>
  <si>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</si>
  <si>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</si>
  <si>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</si>
  <si>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</si>
  <si>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</si>
  <si>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</si>
  <si>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</si>
  <si>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</si>
  <si>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</si>
  <si>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</si>
  <si>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</si>
  <si>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</si>
  <si>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</si>
  <si>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</si>
  <si>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</si>
  <si>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</si>
  <si>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</si>
  <si>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</si>
  <si>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</si>
  <si>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</si>
  <si>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</si>
  <si>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</si>
  <si>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</si>
  <si>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</si>
  <si>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</si>
  <si>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</si>
  <si>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</si>
  <si>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</si>
  <si>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</si>
  <si>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</si>
  <si>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</si>
  <si>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</si>
  <si>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</si>
  <si>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</si>
  <si>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</si>
  <si>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</si>
  <si>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</si>
  <si>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</si>
  <si>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</si>
  <si>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</si>
  <si>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</si>
  <si>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</si>
  <si>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</si>
  <si>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</si>
  <si>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</si>
  <si>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</si>
  <si>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</si>
  <si>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</si>
  <si>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</si>
  <si>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</si>
  <si>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</si>
  <si>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</si>
  <si>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</si>
  <si>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</si>
  <si>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</si>
  <si>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</si>
  <si>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</si>
  <si>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</si>
  <si>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</si>
  <si>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</si>
  <si>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</si>
  <si>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</si>
  <si>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</si>
  <si>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</si>
  <si>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</si>
  <si>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</si>
  <si>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</si>
  <si>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</si>
  <si>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</si>
  <si>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</si>
  <si>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</si>
  <si>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</si>
  <si>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</si>
  <si>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</si>
  <si>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</si>
  <si>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</si>
  <si>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</si>
  <si>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</si>
  <si>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</si>
  <si>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</si>
  <si>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</si>
  <si>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</si>
  <si>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</si>
  <si>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</si>
  <si>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</si>
  <si>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</si>
  <si>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</si>
  <si>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</si>
  <si>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</si>
  <si>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</si>
  <si>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</si>
  <si>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</si>
  <si>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</si>
  <si>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</si>
  <si>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</si>
  <si>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</si>
  <si>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</si>
  <si>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</si>
  <si>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</si>
  <si>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</si>
  <si>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</si>
  <si>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</si>
  <si>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</si>
  <si>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</si>
  <si>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</si>
  <si>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</si>
  <si>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</si>
  <si>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</si>
  <si>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</si>
  <si>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</si>
  <si>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</si>
  <si>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</si>
  <si>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</si>
  <si>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</si>
  <si>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</si>
  <si>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</si>
  <si>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</si>
  <si>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</si>
  <si>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</si>
  <si>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</si>
  <si>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</si>
  <si>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</si>
  <si>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</si>
  <si>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</si>
  <si>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</si>
  <si>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</si>
  <si>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</si>
  <si>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</si>
  <si>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</si>
  <si>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</si>
  <si>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</si>
  <si>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</si>
  <si>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</si>
  <si>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</si>
  <si>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</si>
  <si>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</si>
  <si>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</si>
  <si>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</si>
  <si>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</si>
  <si>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</si>
  <si>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</si>
  <si>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</si>
  <si>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</si>
  <si>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</si>
  <si>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</si>
  <si>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</si>
  <si>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</si>
  <si>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</si>
  <si>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</si>
  <si>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</si>
  <si>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</si>
  <si>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</si>
  <si>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</si>
  <si>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</si>
  <si>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</si>
  <si>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</si>
  <si>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</si>
  <si>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</si>
  <si>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</si>
  <si>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</si>
  <si>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</si>
  <si>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</si>
  <si>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</si>
  <si>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</si>
  <si>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</si>
  <si>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</si>
  <si>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</si>
  <si>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</si>
  <si>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</si>
  <si>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</si>
  <si>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</si>
  <si>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</si>
  <si>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</si>
  <si>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</si>
  <si>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</si>
  <si>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</si>
  <si>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</si>
  <si>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</si>
  <si>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</si>
  <si>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</si>
  <si>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</si>
  <si>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</si>
  <si>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</si>
  <si>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</si>
  <si>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</si>
  <si>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</si>
  <si>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</si>
  <si>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</si>
  <si>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</si>
  <si>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</si>
  <si>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</si>
  <si>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</si>
  <si>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</si>
  <si>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</si>
  <si>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</si>
  <si>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</si>
  <si>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</si>
  <si>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</si>
  <si>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</si>
  <si>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</si>
  <si>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</si>
  <si>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</si>
  <si>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</si>
  <si>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</si>
  <si>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</si>
  <si>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</si>
  <si>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</si>
  <si>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</si>
  <si>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</si>
  <si>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</si>
  <si>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</si>
  <si>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</si>
  <si>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</si>
  <si>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</si>
  <si>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</si>
  <si>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</si>
  <si>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</si>
  <si>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</si>
  <si>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</si>
  <si>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</si>
  <si>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</si>
  <si>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</si>
  <si>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</si>
  <si>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</si>
  <si>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</si>
  <si>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</si>
  <si>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</si>
  <si>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</si>
  <si>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</si>
  <si>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</si>
  <si>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</si>
  <si>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</si>
  <si>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</si>
  <si>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</si>
  <si>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</si>
  <si>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</si>
  <si>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</si>
  <si>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</si>
  <si>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</si>
  <si>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</si>
  <si>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</si>
  <si>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</si>
  <si>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</si>
  <si>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</si>
  <si>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</si>
  <si>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</si>
  <si>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</si>
  <si>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</si>
  <si>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</si>
  <si>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</si>
  <si>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</si>
  <si>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</si>
  <si>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</si>
  <si>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</si>
  <si>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</si>
  <si>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</si>
  <si>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</si>
  <si>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</si>
  <si>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</si>
  <si>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</si>
  <si>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</si>
  <si>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</si>
  <si>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</si>
  <si>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</si>
  <si>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</si>
  <si>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</si>
  <si>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</si>
  <si>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</si>
  <si>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</si>
  <si>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</si>
  <si>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</si>
  <si>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</si>
  <si>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</si>
  <si>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</si>
  <si>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</si>
  <si>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</si>
  <si>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</si>
  <si>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</si>
  <si>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</si>
  <si>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</si>
  <si>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</si>
  <si>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</si>
  <si>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</si>
  <si>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</si>
  <si>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</si>
  <si>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</si>
  <si>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</si>
  <si>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</si>
  <si>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</si>
  <si>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</si>
  <si>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</si>
  <si>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</si>
  <si>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</si>
  <si>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</si>
  <si>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</si>
  <si>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</si>
  <si>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</si>
  <si>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</si>
  <si>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</si>
  <si>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</si>
  <si>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</si>
  <si>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</si>
  <si>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</si>
  <si>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</si>
  <si>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</si>
  <si>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</si>
  <si>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</si>
  <si>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</si>
  <si>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</si>
  <si>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</si>
  <si>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</si>
  <si>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</si>
  <si>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</si>
  <si>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</si>
  <si>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</si>
  <si>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</si>
  <si>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</si>
  <si>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</si>
  <si>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</si>
  <si>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</si>
  <si>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</si>
  <si>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</si>
  <si>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</si>
  <si>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</si>
  <si>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</si>
  <si>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</si>
  <si>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</si>
  <si>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</si>
  <si>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</si>
  <si>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</si>
  <si>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</si>
  <si>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</si>
  <si>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</si>
  <si>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</si>
  <si>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</si>
  <si>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</si>
  <si>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</si>
  <si>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</si>
  <si>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</si>
  <si>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</si>
  <si>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</si>
  <si>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</si>
  <si>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</si>
  <si>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</si>
  <si>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</si>
  <si>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</si>
  <si>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</si>
  <si>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</si>
  <si>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</si>
  <si>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</si>
  <si>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</si>
  <si>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</si>
  <si>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</si>
  <si>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</si>
  <si>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</si>
  <si>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</si>
  <si>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</si>
  <si>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</si>
  <si>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</si>
  <si>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</si>
  <si>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</si>
  <si>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</si>
  <si>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</si>
  <si>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</si>
  <si>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</si>
  <si>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</si>
  <si>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</si>
  <si>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</si>
  <si>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</si>
  <si>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</si>
  <si>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</si>
  <si>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</si>
  <si>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</si>
  <si>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</si>
  <si>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</si>
  <si>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</si>
  <si>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</si>
  <si>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</si>
  <si>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</si>
  <si>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</si>
  <si>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</si>
  <si>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</si>
  <si>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</si>
  <si>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</si>
  <si>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</si>
  <si>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</si>
  <si>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</si>
  <si>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</si>
  <si>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</si>
  <si>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</si>
  <si>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</si>
  <si>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</si>
  <si>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</si>
  <si>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</si>
  <si>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</si>
  <si>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</si>
  <si>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</si>
  <si>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</si>
  <si>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</si>
  <si>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</si>
  <si>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</si>
  <si>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</si>
  <si>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</si>
  <si>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</si>
  <si>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</si>
  <si>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</si>
  <si>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</si>
  <si>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</si>
  <si>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</si>
  <si>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</si>
  <si>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</si>
  <si>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</si>
  <si>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</si>
  <si>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</si>
  <si>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</si>
  <si>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</si>
  <si>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</si>
  <si>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</si>
  <si>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</si>
  <si>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</si>
  <si>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</si>
  <si>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</si>
  <si>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</si>
  <si>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</si>
  <si>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</si>
  <si>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</si>
  <si>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</si>
  <si>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</si>
  <si>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</si>
  <si>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</si>
  <si>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</si>
  <si>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</si>
  <si>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</si>
  <si>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</si>
  <si>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</si>
  <si>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</si>
  <si>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</si>
  <si>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</si>
  <si>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</si>
  <si>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</si>
  <si>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</si>
  <si>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</si>
  <si>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</si>
  <si>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</si>
  <si>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</si>
  <si>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</si>
  <si>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</si>
  <si>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</si>
  <si>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</si>
  <si>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</si>
  <si>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</si>
  <si>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</si>
  <si>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</si>
  <si>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</si>
  <si>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</si>
  <si>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</si>
  <si>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Average of Job Satisfaction</t>
  </si>
  <si>
    <t>Rating</t>
  </si>
  <si>
    <t>Balance Rating</t>
  </si>
  <si>
    <t>Row Labels</t>
  </si>
  <si>
    <t>Grand Total</t>
  </si>
  <si>
    <t>Count of Employee Count</t>
  </si>
  <si>
    <t>Sum of CF_attrition count</t>
  </si>
  <si>
    <t>Attrition Count</t>
  </si>
  <si>
    <t>Count of Attrition</t>
  </si>
  <si>
    <t>marital status</t>
  </si>
  <si>
    <t>Count of Employee Number</t>
  </si>
  <si>
    <t>Sum of CF_attrition counts</t>
  </si>
  <si>
    <t>Average of Age</t>
  </si>
  <si>
    <t>Active employee</t>
  </si>
  <si>
    <t>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</si>
</sst>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sz val="12"/>
      <color theme="1"/>
      <name val="Calibri"/>
      <family val="2"/>
      <scheme val="minor"/>
    </font>
    <font>
      <sz val="12"/>
      <color theme="0" tint="-0.14999847407452621"/>
      <name val="Calibri"/>
      <family val="2"/>
      <scheme val="minor"/>
    </font>
  </fonts>
  <fills count="2">
    <fill>
      <patternFill patternType="none"/>
    </fill>
    <fill>
      <patternFill patternType="gray125"/>
    </fill>
  </fills>
  <borders count="14">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s>
  <cellStyleXfs count="2">
    <xf numFmtId="0" fontId="0" fillId="0" borderId="0"/>
    <xf numFmtId="9" fontId="1" fillId="0" borderId="0" applyFont="0" applyFill="0" applyBorder="0" applyAlignment="0" applyProtection="0"/>
  </cellStyleXfs>
  <cellXfs count="30">
    <xf numFmtId="0" fontId="0" fillId="0" borderId="0" xfId="0" applyFont="1" applyAlignment="1"/>
    <xf numFmtId="0" fontId="1" fillId="0" borderId="0" xfId="0" applyFont="1"/>
    <xf numFmtId="0" fontId="0" fillId="0" borderId="1" xfId="0" applyFont="1" applyBorder="1" applyAlignment="1"/>
    <xf numFmtId="0" fontId="0" fillId="0" borderId="2" xfId="0" applyFont="1" applyBorder="1" applyAlignment="1"/>
    <xf numFmtId="0" fontId="0" fillId="0" borderId="3" xfId="0" applyFont="1" applyBorder="1" applyAlignment="1"/>
    <xf numFmtId="0" fontId="0" fillId="0" borderId="10" xfId="0" applyFont="1" applyBorder="1" applyAlignment="1"/>
    <xf numFmtId="0" fontId="0" fillId="0" borderId="11" xfId="0" applyNumberFormat="1" applyFont="1" applyBorder="1" applyAlignment="1"/>
    <xf numFmtId="164" fontId="0" fillId="0" borderId="0" xfId="0" applyNumberFormat="1" applyFont="1" applyAlignment="1"/>
    <xf numFmtId="9" fontId="0" fillId="0" borderId="0" xfId="1" applyFont="1" applyAlignment="1"/>
    <xf numFmtId="164" fontId="0" fillId="0" borderId="11" xfId="0" applyNumberFormat="1" applyFont="1" applyBorder="1" applyAlignment="1"/>
    <xf numFmtId="164" fontId="0" fillId="0" borderId="4" xfId="0" applyNumberFormat="1" applyFont="1" applyBorder="1" applyAlignment="1"/>
    <xf numFmtId="164" fontId="0" fillId="0" borderId="5" xfId="0" applyNumberFormat="1" applyFont="1" applyBorder="1" applyAlignment="1"/>
    <xf numFmtId="164" fontId="0" fillId="0" borderId="6" xfId="0" applyNumberFormat="1" applyFont="1" applyBorder="1" applyAlignment="1"/>
    <xf numFmtId="164" fontId="0" fillId="0" borderId="7" xfId="0" applyNumberFormat="1" applyFont="1" applyBorder="1" applyAlignment="1"/>
    <xf numFmtId="164" fontId="0" fillId="0" borderId="8" xfId="0" applyNumberFormat="1" applyFont="1" applyBorder="1" applyAlignment="1"/>
    <xf numFmtId="164" fontId="0" fillId="0" borderId="9" xfId="0" applyNumberFormat="1" applyFont="1" applyBorder="1" applyAlignment="1"/>
    <xf numFmtId="0" fontId="2" fillId="0" borderId="0" xfId="0" applyFont="1" applyAlignment="1"/>
    <xf numFmtId="0" fontId="3" fillId="0" borderId="0" xfId="0" applyFont="1" applyAlignment="1"/>
    <xf numFmtId="0" fontId="0" fillId="0" borderId="1" xfId="0" pivotButton="1" applyFont="1" applyBorder="1" applyAlignment="1"/>
    <xf numFmtId="0" fontId="0" fillId="0" borderId="1" xfId="0" applyFont="1" applyBorder="1" applyAlignment="1">
      <alignment horizontal="left"/>
    </xf>
    <xf numFmtId="0" fontId="0" fillId="0" borderId="10" xfId="0" applyNumberFormat="1" applyFont="1" applyBorder="1" applyAlignment="1"/>
    <xf numFmtId="0" fontId="0" fillId="0" borderId="4" xfId="0" applyFont="1" applyBorder="1" applyAlignment="1">
      <alignment horizontal="left"/>
    </xf>
    <xf numFmtId="0" fontId="0" fillId="0" borderId="12" xfId="0" applyNumberFormat="1" applyFont="1" applyBorder="1" applyAlignment="1"/>
    <xf numFmtId="0" fontId="0" fillId="0" borderId="13" xfId="0" applyFont="1" applyBorder="1" applyAlignment="1">
      <alignment horizontal="left"/>
    </xf>
    <xf numFmtId="0" fontId="0" fillId="0" borderId="0" xfId="0" applyFont="1" applyFill="1" applyBorder="1" applyAlignment="1">
      <alignment horizontal="left"/>
    </xf>
    <xf numFmtId="0" fontId="2" fillId="0" borderId="0" xfId="0" applyFont="1" applyFill="1" applyBorder="1" applyAlignment="1"/>
    <xf numFmtId="9" fontId="0" fillId="0" borderId="10" xfId="0" applyNumberFormat="1" applyFont="1" applyBorder="1" applyAlignment="1"/>
    <xf numFmtId="9" fontId="0" fillId="0" borderId="12" xfId="0" applyNumberFormat="1" applyFont="1" applyBorder="1" applyAlignment="1"/>
    <xf numFmtId="9" fontId="0" fillId="0" borderId="11" xfId="0" applyNumberFormat="1" applyFont="1" applyBorder="1" applyAlignment="1"/>
    <xf numFmtId="1" fontId="0" fillId="0" borderId="0" xfId="0" applyNumberFormat="1" applyFont="1" applyAlignment="1"/>
  </cellXfs>
  <cellStyles count="2">
    <cellStyle name="Normal" xfId="0" builtinId="0"/>
    <cellStyle name="Percent" xfId="1" builtinId="5"/>
  </cellStyles>
  <dxfs count="8">
    <dxf>
      <numFmt numFmtId="13" formatCode="0%"/>
    </dxf>
    <dxf>
      <numFmt numFmtId="13" formatCode="0%"/>
    </dxf>
    <dxf>
      <numFmt numFmtId="164" formatCode="0.0"/>
    </dxf>
    <dxf>
      <numFmt numFmtId="164" formatCode="0.0"/>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7"/>
      <tableStyleElement type="firstRowStripe" dxfId="6"/>
      <tableStyleElement type="secondRowStripe" dxfId="5"/>
    </tableStyle>
    <tableStyle name="Slicer " pivot="0" table="0" count="4" xr9:uid="{7F77FCF3-9C02-4770-B128-38C4218A5FCC}">
      <tableStyleElement type="wholeTable" dxfId="4"/>
    </tableStyle>
  </tableStyles>
  <colors>
    <mruColors>
      <color rgb="FFB00000"/>
      <color rgb="FFD44CD7"/>
      <color rgb="FFD050C1"/>
      <color rgb="FFB3059A"/>
      <color rgb="FFE63ADA"/>
      <color rgb="FF3914C2"/>
      <color rgb="FF3F10D6"/>
      <color rgb="FFA51394"/>
      <color rgb="FF3366FF"/>
      <color rgb="FFFEF4FB"/>
    </mruColors>
  </colors>
  <extLst>
    <ext xmlns:x14="http://schemas.microsoft.com/office/spreadsheetml/2009/9/main" uri="{46F421CA-312F-682f-3DD2-61675219B42D}">
      <x14:dxfs count="3">
        <dxf>
          <fill>
            <gradientFill>
              <stop position="0">
                <color theme="1" tint="0.25098422193060094"/>
              </stop>
              <stop position="1">
                <color theme="0" tint="-0.34900967436750391"/>
              </stop>
            </gradientFill>
          </fill>
        </dxf>
        <dxf>
          <font>
            <b/>
            <i val="0"/>
            <color theme="0" tint="-4.9989318521683403E-2"/>
            <name val="Calibri"/>
            <family val="2"/>
            <scheme val="minor"/>
          </font>
          <fill>
            <gradientFill>
              <stop position="0">
                <color theme="9" tint="-0.49803155613879818"/>
              </stop>
              <stop position="1">
                <color theme="9" tint="0.40000610370189521"/>
              </stop>
            </gradientFill>
          </fill>
        </dxf>
        <dxf>
          <fill>
            <gradientFill>
              <stop position="0">
                <color theme="1" tint="0.1490218817712943"/>
              </stop>
              <stop position="1">
                <color theme="0" tint="-0.49803155613879818"/>
              </stop>
            </gradient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91-4836-AA33-3F604627CD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91-4836-AA33-3F604627CDED}"/>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BD75-42EB-A041-51C9154C17D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927253618845036E-3"/>
          <c:y val="5.092592592592593E-2"/>
          <c:w val="0.81111111111111112"/>
          <c:h val="0.89814814814814814"/>
        </c:manualLayout>
      </c:layout>
      <c:barChart>
        <c:barDir val="bar"/>
        <c:grouping val="clustered"/>
        <c:varyColors val="0"/>
        <c:ser>
          <c:idx val="0"/>
          <c:order val="0"/>
          <c:spPr>
            <a:solidFill>
              <a:schemeClr val="accent1"/>
            </a:solidFill>
            <a:ln>
              <a:noFill/>
            </a:ln>
            <a:effectLst/>
          </c:spPr>
          <c:invertIfNegative val="0"/>
          <c:val>
            <c:numRef>
              <c:f>Rating!$B$6:$B$7</c:f>
              <c:numCache>
                <c:formatCode>0.0</c:formatCode>
                <c:ptCount val="2"/>
                <c:pt idx="0">
                  <c:v>2.6265306122448981</c:v>
                </c:pt>
                <c:pt idx="1">
                  <c:v>1.3734693877551019</c:v>
                </c:pt>
              </c:numCache>
            </c:numRef>
          </c:val>
          <c:extLst>
            <c:ext xmlns:c16="http://schemas.microsoft.com/office/drawing/2014/chart" uri="{C3380CC4-5D6E-409C-BE32-E72D297353CC}">
              <c16:uniqueId val="{00000000-EC30-4607-9406-2D294A6E1A85}"/>
            </c:ext>
          </c:extLst>
        </c:ser>
        <c:dLbls>
          <c:showLegendKey val="0"/>
          <c:showVal val="0"/>
          <c:showCatName val="0"/>
          <c:showSerName val="0"/>
          <c:showPercent val="0"/>
          <c:showBubbleSize val="0"/>
        </c:dLbls>
        <c:gapWidth val="182"/>
        <c:axId val="211194784"/>
        <c:axId val="102693792"/>
      </c:barChart>
      <c:catAx>
        <c:axId val="211194784"/>
        <c:scaling>
          <c:orientation val="minMax"/>
        </c:scaling>
        <c:delete val="1"/>
        <c:axPos val="l"/>
        <c:majorTickMark val="none"/>
        <c:minorTickMark val="none"/>
        <c:tickLblPos val="nextTo"/>
        <c:crossAx val="102693792"/>
        <c:crosses val="autoZero"/>
        <c:auto val="1"/>
        <c:lblAlgn val="ctr"/>
        <c:lblOffset val="100"/>
        <c:noMultiLvlLbl val="0"/>
      </c:catAx>
      <c:valAx>
        <c:axId val="102693792"/>
        <c:scaling>
          <c:orientation val="minMax"/>
        </c:scaling>
        <c:delete val="1"/>
        <c:axPos val="b"/>
        <c:numFmt formatCode="0.0" sourceLinked="1"/>
        <c:majorTickMark val="none"/>
        <c:minorTickMark val="none"/>
        <c:tickLblPos val="nextTo"/>
        <c:crossAx val="21119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C43-4AC5-9D57-324E3FFAD701}"/>
            </c:ext>
          </c:extLst>
        </c:ser>
        <c:dLbls>
          <c:dLblPos val="outEnd"/>
          <c:showLegendKey val="0"/>
          <c:showVal val="1"/>
          <c:showCatName val="0"/>
          <c:showSerName val="0"/>
          <c:showPercent val="0"/>
          <c:showBubbleSize val="0"/>
        </c:dLbls>
        <c:gapWidth val="182"/>
        <c:axId val="102390431"/>
        <c:axId val="271358063"/>
      </c:barChart>
      <c:catAx>
        <c:axId val="102390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358063"/>
        <c:crosses val="autoZero"/>
        <c:auto val="1"/>
        <c:lblAlgn val="ctr"/>
        <c:lblOffset val="100"/>
        <c:noMultiLvlLbl val="0"/>
      </c:catAx>
      <c:valAx>
        <c:axId val="271358063"/>
        <c:scaling>
          <c:orientation val="minMax"/>
        </c:scaling>
        <c:delete val="1"/>
        <c:axPos val="b"/>
        <c:numFmt formatCode="General" sourceLinked="1"/>
        <c:majorTickMark val="none"/>
        <c:minorTickMark val="none"/>
        <c:tickLblPos val="nextTo"/>
        <c:crossAx val="10239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A8-4CCE-AE6C-FEA50F6EF7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A8-4CCE-AE6C-FEA50F6EF7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A8-4CCE-AE6C-FEA50F6EF7D2}"/>
              </c:ext>
            </c:extLst>
          </c:dPt>
          <c:cat>
            <c:strRef>
              <c:f>dept!$A$4:$A$7</c:f>
              <c:strCache>
                <c:ptCount val="3"/>
                <c:pt idx="0">
                  <c:v>HR</c:v>
                </c:pt>
                <c:pt idx="1">
                  <c:v>R&amp;D</c:v>
                </c:pt>
                <c:pt idx="2">
                  <c:v>Sales</c:v>
                </c:pt>
              </c:strCache>
            </c:strRef>
          </c:cat>
          <c:val>
            <c:numRef>
              <c:f>dept!$B$4:$B$7</c:f>
              <c:numCache>
                <c:formatCode>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8C60-4B3F-BC51-6DC8B8A630A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DATA_Excel.xlsx]age!PivotTable2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66666666666664E-2"/>
          <c:y val="7.407407407407407E-2"/>
          <c:w val="0.89722222222222214"/>
          <c:h val="0.8416746864975212"/>
        </c:manualLayout>
      </c:layout>
      <c:barChart>
        <c:barDir val="col"/>
        <c:grouping val="clustered"/>
        <c:varyColors val="0"/>
        <c:ser>
          <c:idx val="0"/>
          <c:order val="0"/>
          <c:tx>
            <c:strRef>
              <c:f>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age!$A$4:$A$9</c:f>
              <c:strCache>
                <c:ptCount val="5"/>
                <c:pt idx="0">
                  <c:v>25 - 34</c:v>
                </c:pt>
                <c:pt idx="1">
                  <c:v>35 - 44</c:v>
                </c:pt>
                <c:pt idx="2">
                  <c:v>Under 25</c:v>
                </c:pt>
                <c:pt idx="3">
                  <c:v>45 - 54</c:v>
                </c:pt>
                <c:pt idx="4">
                  <c:v>Over 55</c:v>
                </c:pt>
              </c:strCache>
            </c:strRef>
          </c:cat>
          <c:val>
            <c:numRef>
              <c:f>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ACD-46A8-A3C9-E1D323F2EFB2}"/>
            </c:ext>
          </c:extLst>
        </c:ser>
        <c:dLbls>
          <c:dLblPos val="outEnd"/>
          <c:showLegendKey val="0"/>
          <c:showVal val="1"/>
          <c:showCatName val="0"/>
          <c:showSerName val="0"/>
          <c:showPercent val="0"/>
          <c:showBubbleSize val="0"/>
        </c:dLbls>
        <c:gapWidth val="219"/>
        <c:overlap val="-27"/>
        <c:axId val="974133871"/>
        <c:axId val="971861455"/>
      </c:barChart>
      <c:catAx>
        <c:axId val="97413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861455"/>
        <c:crosses val="autoZero"/>
        <c:auto val="1"/>
        <c:lblAlgn val="ctr"/>
        <c:lblOffset val="100"/>
        <c:noMultiLvlLbl val="0"/>
      </c:catAx>
      <c:valAx>
        <c:axId val="971861455"/>
        <c:scaling>
          <c:orientation val="minMax"/>
        </c:scaling>
        <c:delete val="1"/>
        <c:axPos val="l"/>
        <c:numFmt formatCode="General" sourceLinked="1"/>
        <c:majorTickMark val="none"/>
        <c:minorTickMark val="none"/>
        <c:tickLblPos val="nextTo"/>
        <c:crossAx val="974133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964168538873918"/>
          <c:y val="0.17930869741776748"/>
          <c:w val="0.55257270693512306"/>
          <c:h val="0.6918767507002801"/>
        </c:manualLayout>
      </c:layout>
      <c:doughnutChart>
        <c:varyColors val="1"/>
        <c:ser>
          <c:idx val="0"/>
          <c:order val="0"/>
          <c:spPr>
            <a:ln>
              <a:noFill/>
            </a:ln>
          </c:spPr>
          <c:dPt>
            <c:idx val="0"/>
            <c:bubble3D val="0"/>
            <c:spPr>
              <a:gradFill>
                <a:gsLst>
                  <a:gs pos="0">
                    <a:schemeClr val="accent1">
                      <a:lumMod val="50000"/>
                    </a:schemeClr>
                  </a:gs>
                  <a:gs pos="97000">
                    <a:schemeClr val="accent6">
                      <a:lumMod val="75000"/>
                    </a:schemeClr>
                  </a:gs>
                </a:gsLst>
                <a:path path="circle">
                  <a:fillToRect l="50000" t="50000" r="50000" b="50000"/>
                </a:path>
              </a:gradFill>
              <a:ln w="19050">
                <a:noFill/>
              </a:ln>
              <a:effectLst/>
            </c:spPr>
            <c:extLst>
              <c:ext xmlns:c16="http://schemas.microsoft.com/office/drawing/2014/chart" uri="{C3380CC4-5D6E-409C-BE32-E72D297353CC}">
                <c16:uniqueId val="{00000001-6851-4B52-B9E2-9EBECB90111D}"/>
              </c:ext>
            </c:extLst>
          </c:dPt>
          <c:dPt>
            <c:idx val="1"/>
            <c:bubble3D val="0"/>
            <c:spPr>
              <a:solidFill>
                <a:schemeClr val="bg1">
                  <a:lumMod val="95000"/>
                  <a:alpha val="58000"/>
                </a:schemeClr>
              </a:solidFill>
              <a:ln w="19050">
                <a:noFill/>
              </a:ln>
              <a:effectLst/>
            </c:spPr>
            <c:extLst>
              <c:ext xmlns:c16="http://schemas.microsoft.com/office/drawing/2014/chart" uri="{C3380CC4-5D6E-409C-BE32-E72D297353CC}">
                <c16:uniqueId val="{00000003-6851-4B52-B9E2-9EBECB90111D}"/>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6851-4B52-B9E2-9EBECB90111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733469624466731"/>
          <c:y val="8.2918739635157543E-2"/>
          <c:w val="0.71294287780187993"/>
          <c:h val="0.81757877280265345"/>
        </c:manualLayout>
      </c:layout>
      <c:doughnutChart>
        <c:varyColors val="1"/>
        <c:ser>
          <c:idx val="0"/>
          <c:order val="0"/>
          <c:spPr>
            <a:ln>
              <a:noFill/>
            </a:ln>
          </c:spPr>
          <c:dPt>
            <c:idx val="0"/>
            <c:bubble3D val="0"/>
            <c:spPr>
              <a:gradFill>
                <a:gsLst>
                  <a:gs pos="50000">
                    <a:srgbClr val="D050C1"/>
                  </a:gs>
                  <a:gs pos="0">
                    <a:srgbClr val="B3059A"/>
                  </a:gs>
                  <a:gs pos="100000">
                    <a:srgbClr val="A51394"/>
                  </a:gs>
                </a:gsLst>
                <a:lin ang="0" scaled="0"/>
              </a:gradFill>
              <a:ln w="19050">
                <a:noFill/>
              </a:ln>
              <a:effectLst/>
            </c:spPr>
            <c:extLst>
              <c:ext xmlns:c16="http://schemas.microsoft.com/office/drawing/2014/chart" uri="{C3380CC4-5D6E-409C-BE32-E72D297353CC}">
                <c16:uniqueId val="{00000001-7196-468F-9462-30E12FF84ED0}"/>
              </c:ext>
            </c:extLst>
          </c:dPt>
          <c:dPt>
            <c:idx val="1"/>
            <c:bubble3D val="0"/>
            <c:spPr>
              <a:solidFill>
                <a:schemeClr val="bg1"/>
              </a:solidFill>
              <a:ln w="19050">
                <a:noFill/>
              </a:ln>
              <a:effectLst/>
            </c:spPr>
            <c:extLst>
              <c:ext xmlns:c16="http://schemas.microsoft.com/office/drawing/2014/chart" uri="{C3380CC4-5D6E-409C-BE32-E72D297353CC}">
                <c16:uniqueId val="{00000003-7196-468F-9462-30E12FF84ED0}"/>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7196-468F-9462-30E12FF84ED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7334812664224"/>
          <c:y val="0.10994465162266415"/>
          <c:w val="0.71294287780187993"/>
          <c:h val="0.81757877280265345"/>
        </c:manualLayout>
      </c:layout>
      <c:doughnutChart>
        <c:varyColors val="1"/>
        <c:ser>
          <c:idx val="0"/>
          <c:order val="0"/>
          <c:spPr>
            <a:solidFill>
              <a:srgbClr val="3914C2"/>
            </a:solidFill>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7-2031-45C2-B9B0-E0F69D1D60EF}"/>
              </c:ext>
            </c:extLst>
          </c:dPt>
          <c:dPt>
            <c:idx val="1"/>
            <c:bubble3D val="0"/>
            <c:spPr>
              <a:gradFill>
                <a:gsLst>
                  <a:gs pos="50000">
                    <a:srgbClr val="3F10D6"/>
                  </a:gs>
                  <a:gs pos="0">
                    <a:srgbClr val="7030A0"/>
                  </a:gs>
                  <a:gs pos="100000">
                    <a:srgbClr val="3914C2"/>
                  </a:gs>
                </a:gsLst>
                <a:lin ang="0" scaled="0"/>
              </a:gradFill>
              <a:ln w="19050">
                <a:noFill/>
              </a:ln>
              <a:effectLst/>
            </c:spPr>
            <c:extLst>
              <c:ext xmlns:c16="http://schemas.microsoft.com/office/drawing/2014/chart" uri="{C3380CC4-5D6E-409C-BE32-E72D297353CC}">
                <c16:uniqueId val="{00000009-2031-45C2-B9B0-E0F69D1D60EF}"/>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A-2031-45C2-B9B0-E0F69D1D60EF}"/>
            </c:ext>
          </c:extLst>
        </c:ser>
        <c:dLbls>
          <c:showLegendKey val="0"/>
          <c:showVal val="0"/>
          <c:showCatName val="0"/>
          <c:showSerName val="0"/>
          <c:showPercent val="0"/>
          <c:showBubbleSize val="0"/>
          <c:showLeaderLines val="1"/>
        </c:dLbls>
        <c:firstSliceAng val="0"/>
        <c:holeSize val="7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50000">
                <a:schemeClr val="accent6">
                  <a:lumMod val="50000"/>
                  <a:alpha val="93000"/>
                </a:schemeClr>
              </a:gs>
              <a:gs pos="0">
                <a:schemeClr val="accent6">
                  <a:lumMod val="75000"/>
                </a:schemeClr>
              </a:gs>
              <a:gs pos="10000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29002624671917"/>
          <c:y val="0.10185185185185185"/>
          <c:w val="0.74326552930883638"/>
          <c:h val="0.89814814814814814"/>
        </c:manualLayout>
      </c:layout>
      <c:barChart>
        <c:barDir val="bar"/>
        <c:grouping val="clustered"/>
        <c:varyColors val="0"/>
        <c:ser>
          <c:idx val="0"/>
          <c:order val="0"/>
          <c:tx>
            <c:strRef>
              <c:f>education!$B$3</c:f>
              <c:strCache>
                <c:ptCount val="1"/>
                <c:pt idx="0">
                  <c:v>Total</c:v>
                </c:pt>
              </c:strCache>
            </c:strRef>
          </c:tx>
          <c:spPr>
            <a:gradFill>
              <a:gsLst>
                <a:gs pos="50000">
                  <a:schemeClr val="accent6">
                    <a:lumMod val="50000"/>
                    <a:alpha val="93000"/>
                  </a:schemeClr>
                </a:gs>
                <a:gs pos="0">
                  <a:schemeClr val="accent6">
                    <a:lumMod val="75000"/>
                  </a:schemeClr>
                </a:gs>
                <a:gs pos="100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1B7B-4D43-BF0C-567D83F07072}"/>
            </c:ext>
          </c:extLst>
        </c:ser>
        <c:dLbls>
          <c:dLblPos val="outEnd"/>
          <c:showLegendKey val="0"/>
          <c:showVal val="1"/>
          <c:showCatName val="0"/>
          <c:showSerName val="0"/>
          <c:showPercent val="0"/>
          <c:showBubbleSize val="0"/>
        </c:dLbls>
        <c:gapWidth val="75"/>
        <c:axId val="102390431"/>
        <c:axId val="271358063"/>
      </c:barChart>
      <c:catAx>
        <c:axId val="102390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71358063"/>
        <c:crosses val="autoZero"/>
        <c:auto val="1"/>
        <c:lblAlgn val="ctr"/>
        <c:lblOffset val="100"/>
        <c:noMultiLvlLbl val="0"/>
      </c:catAx>
      <c:valAx>
        <c:axId val="271358063"/>
        <c:scaling>
          <c:orientation val="minMax"/>
        </c:scaling>
        <c:delete val="1"/>
        <c:axPos val="b"/>
        <c:numFmt formatCode="General" sourceLinked="1"/>
        <c:majorTickMark val="none"/>
        <c:minorTickMark val="none"/>
        <c:tickLblPos val="nextTo"/>
        <c:crossAx val="102390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0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6">
                  <a:lumMod val="75000"/>
                </a:schemeClr>
              </a:gs>
              <a:gs pos="100000">
                <a:schemeClr val="accent6">
                  <a:lumMod val="50000"/>
                </a:schemeClr>
              </a:gs>
            </a:gsLst>
            <a:lin ang="10800000" scaled="0"/>
          </a:gradFill>
          <a:ln w="19050">
            <a:solidFill>
              <a:schemeClr val="lt1"/>
            </a:solidFill>
          </a:ln>
          <a:effectLst/>
        </c:spPr>
      </c:pivotFmt>
      <c:pivotFmt>
        <c:idx val="7"/>
        <c:spPr>
          <a:gradFill>
            <a:gsLst>
              <a:gs pos="0">
                <a:schemeClr val="accent1">
                  <a:lumMod val="50000"/>
                </a:schemeClr>
              </a:gs>
              <a:gs pos="100000">
                <a:schemeClr val="accent5">
                  <a:lumMod val="75000"/>
                </a:schemeClr>
              </a:gs>
            </a:gsLst>
            <a:lin ang="10800000" scaled="0"/>
          </a:gradFill>
          <a:ln w="12700">
            <a:solidFill>
              <a:schemeClr val="bg1">
                <a:lumMod val="85000"/>
              </a:schemeClr>
            </a:solidFill>
          </a:ln>
          <a:effectLst/>
        </c:spPr>
      </c:pivotFmt>
      <c:pivotFmt>
        <c:idx val="8"/>
        <c:spPr>
          <a:gradFill>
            <a:gsLst>
              <a:gs pos="0">
                <a:srgbClr val="B00000"/>
              </a:gs>
              <a:gs pos="100000">
                <a:schemeClr val="accent2">
                  <a:lumMod val="75000"/>
                </a:schemeClr>
              </a:gs>
            </a:gsLst>
            <a:lin ang="10800000" scaled="0"/>
          </a:gradFill>
          <a:ln w="19050">
            <a:solidFill>
              <a:schemeClr val="lt1"/>
            </a:solidFill>
          </a:ln>
          <a:effectLst/>
        </c:spPr>
      </c:pivotFmt>
    </c:pivotFmts>
    <c:plotArea>
      <c:layout/>
      <c:pieChart>
        <c:varyColors val="1"/>
        <c:ser>
          <c:idx val="0"/>
          <c:order val="0"/>
          <c:tx>
            <c:strRef>
              <c:f>dept!$B$3</c:f>
              <c:strCache>
                <c:ptCount val="1"/>
                <c:pt idx="0">
                  <c:v>Total</c:v>
                </c:pt>
              </c:strCache>
            </c:strRef>
          </c:tx>
          <c:dPt>
            <c:idx val="0"/>
            <c:bubble3D val="0"/>
            <c:spPr>
              <a:gradFill>
                <a:gsLst>
                  <a:gs pos="0">
                    <a:schemeClr val="accent6">
                      <a:lumMod val="75000"/>
                    </a:schemeClr>
                  </a:gs>
                  <a:gs pos="100000">
                    <a:schemeClr val="accent6">
                      <a:lumMod val="50000"/>
                    </a:schemeClr>
                  </a:gs>
                </a:gsLst>
                <a:lin ang="10800000" scaled="0"/>
              </a:gradFill>
              <a:ln w="19050">
                <a:solidFill>
                  <a:schemeClr val="lt1"/>
                </a:solidFill>
              </a:ln>
              <a:effectLst/>
            </c:spPr>
            <c:extLst>
              <c:ext xmlns:c16="http://schemas.microsoft.com/office/drawing/2014/chart" uri="{C3380CC4-5D6E-409C-BE32-E72D297353CC}">
                <c16:uniqueId val="{00000001-3003-493E-9341-73CE79E7746E}"/>
              </c:ext>
            </c:extLst>
          </c:dPt>
          <c:dPt>
            <c:idx val="1"/>
            <c:bubble3D val="0"/>
            <c:spPr>
              <a:gradFill>
                <a:gsLst>
                  <a:gs pos="0">
                    <a:schemeClr val="accent1">
                      <a:lumMod val="50000"/>
                    </a:schemeClr>
                  </a:gs>
                  <a:gs pos="100000">
                    <a:schemeClr val="accent5">
                      <a:lumMod val="75000"/>
                    </a:schemeClr>
                  </a:gs>
                </a:gsLst>
                <a:lin ang="10800000" scaled="0"/>
              </a:gradFill>
              <a:ln w="12700">
                <a:solidFill>
                  <a:schemeClr val="bg1">
                    <a:lumMod val="85000"/>
                  </a:schemeClr>
                </a:solidFill>
              </a:ln>
              <a:effectLst/>
            </c:spPr>
            <c:extLst>
              <c:ext xmlns:c16="http://schemas.microsoft.com/office/drawing/2014/chart" uri="{C3380CC4-5D6E-409C-BE32-E72D297353CC}">
                <c16:uniqueId val="{00000003-3003-493E-9341-73CE79E7746E}"/>
              </c:ext>
            </c:extLst>
          </c:dPt>
          <c:dPt>
            <c:idx val="2"/>
            <c:bubble3D val="0"/>
            <c:spPr>
              <a:gradFill>
                <a:gsLst>
                  <a:gs pos="0">
                    <a:srgbClr val="B00000"/>
                  </a:gs>
                  <a:gs pos="100000">
                    <a:schemeClr val="accent2">
                      <a:lumMod val="75000"/>
                    </a:schemeClr>
                  </a:gs>
                </a:gsLst>
                <a:lin ang="10800000" scaled="0"/>
              </a:gradFill>
              <a:ln w="19050">
                <a:solidFill>
                  <a:schemeClr val="lt1"/>
                </a:solidFill>
              </a:ln>
              <a:effectLst/>
            </c:spPr>
            <c:extLst>
              <c:ext xmlns:c16="http://schemas.microsoft.com/office/drawing/2014/chart" uri="{C3380CC4-5D6E-409C-BE32-E72D297353CC}">
                <c16:uniqueId val="{00000005-3003-493E-9341-73CE79E7746E}"/>
              </c:ext>
            </c:extLst>
          </c:dPt>
          <c:dLbls>
            <c:spPr>
              <a:noFill/>
              <a:ln>
                <a:noFill/>
              </a:ln>
              <a:effectLst/>
            </c:spPr>
            <c:txPr>
              <a:bodyPr rot="0" spcFirstLastPara="1" vertOverflow="ellipsis" vert="horz" wrap="square" lIns="38100" tIns="19050" rIns="38100" bIns="19050" anchor="ctr" anchorCtr="0">
                <a:spAutoFit/>
              </a:bodyPr>
              <a:lstStyle/>
              <a:p>
                <a:pPr algn="ctr">
                  <a:defRPr sz="10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dept!$A$4:$A$7</c:f>
              <c:strCache>
                <c:ptCount val="3"/>
                <c:pt idx="0">
                  <c:v>HR</c:v>
                </c:pt>
                <c:pt idx="1">
                  <c:v>R&amp;D</c:v>
                </c:pt>
                <c:pt idx="2">
                  <c:v>Sales</c:v>
                </c:pt>
              </c:strCache>
            </c:strRef>
          </c:cat>
          <c:val>
            <c:numRef>
              <c:f>dept!$B$4:$B$7</c:f>
              <c:numCache>
                <c:formatCode>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3003-493E-9341-73CE79E7746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1304640044994358"/>
          <c:y val="0.31304443356022355"/>
          <c:w val="0.16552502812148479"/>
          <c:h val="0.4126670969494173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DATA_Excel.xlsx]age!PivotTable2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100000">
                <a:schemeClr val="accent2">
                  <a:lumMod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3187284489453577E-2"/>
          <c:w val="0.97998960906535604"/>
          <c:h val="0.85320673868472552"/>
        </c:manualLayout>
      </c:layout>
      <c:barChart>
        <c:barDir val="col"/>
        <c:grouping val="clustered"/>
        <c:varyColors val="0"/>
        <c:ser>
          <c:idx val="0"/>
          <c:order val="0"/>
          <c:tx>
            <c:strRef>
              <c:f>age!$B$3</c:f>
              <c:strCache>
                <c:ptCount val="1"/>
                <c:pt idx="0">
                  <c:v>Total</c:v>
                </c:pt>
              </c:strCache>
            </c:strRef>
          </c:tx>
          <c:spPr>
            <a:gradFill>
              <a:gsLst>
                <a:gs pos="0">
                  <a:schemeClr val="accent2">
                    <a:lumMod val="75000"/>
                  </a:schemeClr>
                </a:gs>
                <a:gs pos="100000">
                  <a:schemeClr val="accent2">
                    <a:lumMod val="5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age!$A$4:$A$9</c:f>
              <c:strCache>
                <c:ptCount val="5"/>
                <c:pt idx="0">
                  <c:v>25 - 34</c:v>
                </c:pt>
                <c:pt idx="1">
                  <c:v>35 - 44</c:v>
                </c:pt>
                <c:pt idx="2">
                  <c:v>Under 25</c:v>
                </c:pt>
                <c:pt idx="3">
                  <c:v>45 - 54</c:v>
                </c:pt>
                <c:pt idx="4">
                  <c:v>Over 55</c:v>
                </c:pt>
              </c:strCache>
            </c:strRef>
          </c:cat>
          <c:val>
            <c:numRef>
              <c:f>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968A-403E-9159-FBB76FCA8A92}"/>
            </c:ext>
          </c:extLst>
        </c:ser>
        <c:dLbls>
          <c:dLblPos val="outEnd"/>
          <c:showLegendKey val="0"/>
          <c:showVal val="1"/>
          <c:showCatName val="0"/>
          <c:showSerName val="0"/>
          <c:showPercent val="0"/>
          <c:showBubbleSize val="0"/>
        </c:dLbls>
        <c:gapWidth val="219"/>
        <c:overlap val="-27"/>
        <c:axId val="974133871"/>
        <c:axId val="971861455"/>
      </c:barChart>
      <c:catAx>
        <c:axId val="97413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71861455"/>
        <c:crosses val="autoZero"/>
        <c:auto val="1"/>
        <c:lblAlgn val="ctr"/>
        <c:lblOffset val="100"/>
        <c:noMultiLvlLbl val="0"/>
      </c:catAx>
      <c:valAx>
        <c:axId val="971861455"/>
        <c:scaling>
          <c:orientation val="minMax"/>
        </c:scaling>
        <c:delete val="1"/>
        <c:axPos val="l"/>
        <c:numFmt formatCode="General" sourceLinked="1"/>
        <c:majorTickMark val="none"/>
        <c:minorTickMark val="none"/>
        <c:tickLblPos val="nextTo"/>
        <c:crossAx val="974133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EB6CE432-9184-4632-9C44-251769262B0C}">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02CA58E4-288C-43A3-9F5F-1E7EC8E4BF6A}">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EB6CE432-9184-4632-9C44-251769262B0C}">
          <cx:dataPt idx="2">
            <cx:spPr>
              <a:solidFill>
                <a:srgbClr val="7030A0"/>
              </a:solidFill>
              <a:ln>
                <a:noFill/>
              </a:ln>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plotArea>
      <cx:plotAreaRegion>
        <cx:series layoutId="funnel" uniqueId="{02CA58E4-288C-43A3-9F5F-1E7EC8E4BF6A}">
          <cx:tx>
            <cx:txData>
              <cx:f>_xlchart.v2.6</cx:f>
              <cx:v>Attrition</cx:v>
            </cx:txData>
          </cx:tx>
          <cx:spPr>
            <a:gradFill>
              <a:gsLst>
                <a:gs pos="0">
                  <a:schemeClr val="accent6">
                    <a:lumMod val="75000"/>
                    <a:alpha val="82000"/>
                  </a:schemeClr>
                </a:gs>
                <a:gs pos="100000">
                  <a:schemeClr val="accent6">
                    <a:lumMod val="50000"/>
                  </a:schemeClr>
                </a:gs>
              </a:gsLst>
              <a:lin ang="10800000" scaled="0"/>
            </a:gradFill>
            <a:ln>
              <a:noFill/>
            </a:ln>
          </cx:spPr>
          <cx:dataLabels>
            <cx:txPr>
              <a:bodyPr spcFirstLastPara="1" vertOverflow="ellipsis" horzOverflow="overflow" wrap="square" lIns="0" tIns="0" rIns="0" bIns="0" anchor="ctr" anchorCtr="1"/>
              <a:lstStyle/>
              <a:p>
                <a:pPr algn="ctr" rtl="0">
                  <a:defRPr sz="1200" b="1">
                    <a:solidFill>
                      <a:schemeClr val="bg1">
                        <a:lumMod val="95000"/>
                      </a:schemeClr>
                    </a:solidFill>
                  </a:defRPr>
                </a:pPr>
                <a:endParaRPr lang="en-US" sz="1200" b="1" i="0" u="none" strike="noStrike" baseline="0">
                  <a:solidFill>
                    <a:schemeClr val="bg1">
                      <a:lumMod val="95000"/>
                    </a:schemeClr>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microsoft.com/office/2014/relationships/chartEx" Target="../charts/chartEx2.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10.png"/><Relationship Id="rId18" Type="http://schemas.openxmlformats.org/officeDocument/2006/relationships/image" Target="../media/image12.emf"/><Relationship Id="rId3" Type="http://schemas.openxmlformats.org/officeDocument/2006/relationships/image" Target="../media/image4.png"/><Relationship Id="rId7" Type="http://schemas.openxmlformats.org/officeDocument/2006/relationships/image" Target="../media/image7.png"/><Relationship Id="rId12" Type="http://schemas.openxmlformats.org/officeDocument/2006/relationships/image" Target="../media/image9.svg"/><Relationship Id="rId17" Type="http://schemas.openxmlformats.org/officeDocument/2006/relationships/chart" Target="../charts/chart10.xml"/><Relationship Id="rId2" Type="http://schemas.openxmlformats.org/officeDocument/2006/relationships/image" Target="../media/image2.png"/><Relationship Id="rId16" Type="http://schemas.microsoft.com/office/2014/relationships/chartEx" Target="../charts/chartEx3.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chart" Target="../charts/chart9.xml"/><Relationship Id="rId10" Type="http://schemas.openxmlformats.org/officeDocument/2006/relationships/chart" Target="../charts/chart8.xml"/><Relationship Id="rId19" Type="http://schemas.openxmlformats.org/officeDocument/2006/relationships/chart" Target="../charts/chart11.xml"/><Relationship Id="rId4" Type="http://schemas.openxmlformats.org/officeDocument/2006/relationships/image" Target="../media/image3.png"/><Relationship Id="rId9" Type="http://schemas.openxmlformats.org/officeDocument/2006/relationships/chart" Target="../charts/chart7.xml"/><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editAs="oneCell">
    <xdr:from>
      <xdr:col>4</xdr:col>
      <xdr:colOff>609600</xdr:colOff>
      <xdr:row>2</xdr:row>
      <xdr:rowOff>144781</xdr:rowOff>
    </xdr:from>
    <xdr:to>
      <xdr:col>7</xdr:col>
      <xdr:colOff>426720</xdr:colOff>
      <xdr:row>7</xdr:row>
      <xdr:rowOff>175261</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2C95B2B4-7CAF-4D6C-9AA5-5E872A4F5E2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533900" y="541021"/>
              <a:ext cx="1828800" cy="1021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628650</xdr:colOff>
      <xdr:row>14</xdr:row>
      <xdr:rowOff>108585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7181850" y="2775585"/>
          <a:ext cx="390525" cy="314325"/>
        </a:xfrm>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11</xdr:col>
      <xdr:colOff>480060</xdr:colOff>
      <xdr:row>6</xdr:row>
      <xdr:rowOff>22860</xdr:rowOff>
    </xdr:from>
    <xdr:to>
      <xdr:col>15</xdr:col>
      <xdr:colOff>0</xdr:colOff>
      <xdr:row>8</xdr:row>
      <xdr:rowOff>91440</xdr:rowOff>
    </xdr:to>
    <xdr:sp macro="" textlink="">
      <xdr:nvSpPr>
        <xdr:cNvPr id="13" name="Rectangle 12">
          <a:extLst>
            <a:ext uri="{FF2B5EF4-FFF2-40B4-BE49-F238E27FC236}">
              <a16:creationId xmlns:a16="http://schemas.microsoft.com/office/drawing/2014/main" id="{3D8E180E-2561-4795-A95D-D54912C54513}"/>
            </a:ext>
          </a:extLst>
        </xdr:cNvPr>
        <xdr:cNvSpPr/>
      </xdr:nvSpPr>
      <xdr:spPr>
        <a:xfrm>
          <a:off x="8983980" y="1211580"/>
          <a:ext cx="2202180" cy="4648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281940</xdr:colOff>
      <xdr:row>8</xdr:row>
      <xdr:rowOff>99060</xdr:rowOff>
    </xdr:from>
    <xdr:to>
      <xdr:col>9</xdr:col>
      <xdr:colOff>76200</xdr:colOff>
      <xdr:row>13</xdr:row>
      <xdr:rowOff>15240</xdr:rowOff>
    </xdr:to>
    <xdr:graphicFrame macro="">
      <xdr:nvGraphicFramePr>
        <xdr:cNvPr id="3" name="Chart 2">
          <a:extLst>
            <a:ext uri="{FF2B5EF4-FFF2-40B4-BE49-F238E27FC236}">
              <a16:creationId xmlns:a16="http://schemas.microsoft.com/office/drawing/2014/main" id="{8008FBE7-4C42-4A80-B61F-4F39C8EFC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308610</xdr:colOff>
      <xdr:row>8</xdr:row>
      <xdr:rowOff>99060</xdr:rowOff>
    </xdr:from>
    <xdr:to>
      <xdr:col>10</xdr:col>
      <xdr:colOff>609600</xdr:colOff>
      <xdr:row>19</xdr:row>
      <xdr:rowOff>114300</xdr:rowOff>
    </xdr:to>
    <xdr:graphicFrame macro="">
      <xdr:nvGraphicFramePr>
        <xdr:cNvPr id="4" name="Chart 3">
          <a:extLst>
            <a:ext uri="{FF2B5EF4-FFF2-40B4-BE49-F238E27FC236}">
              <a16:creationId xmlns:a16="http://schemas.microsoft.com/office/drawing/2014/main" id="{22D4C485-A57B-4F84-A9BF-30C3556831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594360</xdr:colOff>
      <xdr:row>6</xdr:row>
      <xdr:rowOff>68580</xdr:rowOff>
    </xdr:from>
    <xdr:to>
      <xdr:col>12</xdr:col>
      <xdr:colOff>289560</xdr:colOff>
      <xdr:row>7</xdr:row>
      <xdr:rowOff>182880</xdr:rowOff>
    </xdr:to>
    <xdr:sp macro="" textlink="">
      <xdr:nvSpPr>
        <xdr:cNvPr id="8" name="Star: 5 Points 7">
          <a:extLst>
            <a:ext uri="{FF2B5EF4-FFF2-40B4-BE49-F238E27FC236}">
              <a16:creationId xmlns:a16="http://schemas.microsoft.com/office/drawing/2014/main" id="{8D77C799-1C4D-469A-AE5C-CF7D27DB93B2}"/>
            </a:ext>
          </a:extLst>
        </xdr:cNvPr>
        <xdr:cNvSpPr/>
      </xdr:nvSpPr>
      <xdr:spPr>
        <a:xfrm>
          <a:off x="9098280" y="1257300"/>
          <a:ext cx="365760" cy="312420"/>
        </a:xfrm>
        <a:prstGeom prst="star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350520</xdr:colOff>
      <xdr:row>6</xdr:row>
      <xdr:rowOff>76200</xdr:rowOff>
    </xdr:from>
    <xdr:to>
      <xdr:col>14</xdr:col>
      <xdr:colOff>45720</xdr:colOff>
      <xdr:row>7</xdr:row>
      <xdr:rowOff>190500</xdr:rowOff>
    </xdr:to>
    <xdr:sp macro="" textlink="">
      <xdr:nvSpPr>
        <xdr:cNvPr id="10" name="Star: 5 Points 9">
          <a:extLst>
            <a:ext uri="{FF2B5EF4-FFF2-40B4-BE49-F238E27FC236}">
              <a16:creationId xmlns:a16="http://schemas.microsoft.com/office/drawing/2014/main" id="{BABD4EAE-751E-4FB4-885D-604A3D6D8984}"/>
            </a:ext>
          </a:extLst>
        </xdr:cNvPr>
        <xdr:cNvSpPr/>
      </xdr:nvSpPr>
      <xdr:spPr>
        <a:xfrm>
          <a:off x="10195560" y="1264920"/>
          <a:ext cx="365760" cy="312420"/>
        </a:xfrm>
        <a:prstGeom prst="star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220980</xdr:colOff>
      <xdr:row>6</xdr:row>
      <xdr:rowOff>91440</xdr:rowOff>
    </xdr:from>
    <xdr:to>
      <xdr:col>14</xdr:col>
      <xdr:colOff>586740</xdr:colOff>
      <xdr:row>8</xdr:row>
      <xdr:rowOff>7620</xdr:rowOff>
    </xdr:to>
    <xdr:sp macro="" textlink="">
      <xdr:nvSpPr>
        <xdr:cNvPr id="11" name="Star: 5 Points 10">
          <a:extLst>
            <a:ext uri="{FF2B5EF4-FFF2-40B4-BE49-F238E27FC236}">
              <a16:creationId xmlns:a16="http://schemas.microsoft.com/office/drawing/2014/main" id="{F83DFA1C-4A8A-49DF-8CCB-6540E9903DEC}"/>
            </a:ext>
          </a:extLst>
        </xdr:cNvPr>
        <xdr:cNvSpPr/>
      </xdr:nvSpPr>
      <xdr:spPr>
        <a:xfrm>
          <a:off x="10736580" y="1280160"/>
          <a:ext cx="365760" cy="312420"/>
        </a:xfrm>
        <a:prstGeom prst="star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480060</xdr:colOff>
      <xdr:row>6</xdr:row>
      <xdr:rowOff>68580</xdr:rowOff>
    </xdr:from>
    <xdr:to>
      <xdr:col>13</xdr:col>
      <xdr:colOff>175260</xdr:colOff>
      <xdr:row>7</xdr:row>
      <xdr:rowOff>182880</xdr:rowOff>
    </xdr:to>
    <xdr:sp macro="" textlink="">
      <xdr:nvSpPr>
        <xdr:cNvPr id="12" name="Star: 5 Points 11">
          <a:extLst>
            <a:ext uri="{FF2B5EF4-FFF2-40B4-BE49-F238E27FC236}">
              <a16:creationId xmlns:a16="http://schemas.microsoft.com/office/drawing/2014/main" id="{045CC7E2-8C54-4CF5-BB96-C661308FCB38}"/>
            </a:ext>
          </a:extLst>
        </xdr:cNvPr>
        <xdr:cNvSpPr/>
      </xdr:nvSpPr>
      <xdr:spPr>
        <a:xfrm>
          <a:off x="9654540" y="1257300"/>
          <a:ext cx="365760" cy="312420"/>
        </a:xfrm>
        <a:prstGeom prst="star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163830</xdr:colOff>
      <xdr:row>8</xdr:row>
      <xdr:rowOff>7620</xdr:rowOff>
    </xdr:from>
    <xdr:to>
      <xdr:col>9</xdr:col>
      <xdr:colOff>41910</xdr:colOff>
      <xdr:row>21</xdr:row>
      <xdr:rowOff>175260</xdr:rowOff>
    </xdr:to>
    <xdr:graphicFrame macro="">
      <xdr:nvGraphicFramePr>
        <xdr:cNvPr id="2" name="Chart 1">
          <a:extLst>
            <a:ext uri="{FF2B5EF4-FFF2-40B4-BE49-F238E27FC236}">
              <a16:creationId xmlns:a16="http://schemas.microsoft.com/office/drawing/2014/main" id="{03F060DB-3D70-4E73-BB2A-C2AB697F4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415290</xdr:colOff>
      <xdr:row>13</xdr:row>
      <xdr:rowOff>175260</xdr:rowOff>
    </xdr:from>
    <xdr:to>
      <xdr:col>3</xdr:col>
      <xdr:colOff>803910</xdr:colOff>
      <xdr:row>27</xdr:row>
      <xdr:rowOff>144780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3008324-53C3-4F88-8C66-7B40F942C0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15290" y="27508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453390</xdr:colOff>
      <xdr:row>8</xdr:row>
      <xdr:rowOff>7620</xdr:rowOff>
    </xdr:from>
    <xdr:to>
      <xdr:col>7</xdr:col>
      <xdr:colOff>426720</xdr:colOff>
      <xdr:row>21</xdr:row>
      <xdr:rowOff>76200</xdr:rowOff>
    </xdr:to>
    <xdr:graphicFrame macro="">
      <xdr:nvGraphicFramePr>
        <xdr:cNvPr id="2" name="Chart 1">
          <a:extLst>
            <a:ext uri="{FF2B5EF4-FFF2-40B4-BE49-F238E27FC236}">
              <a16:creationId xmlns:a16="http://schemas.microsoft.com/office/drawing/2014/main" id="{0F3375DD-E637-4DC8-8EEA-74305C2E2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217170</xdr:colOff>
      <xdr:row>10</xdr:row>
      <xdr:rowOff>106680</xdr:rowOff>
    </xdr:from>
    <xdr:to>
      <xdr:col>5</xdr:col>
      <xdr:colOff>110490</xdr:colOff>
      <xdr:row>24</xdr:row>
      <xdr:rowOff>76200</xdr:rowOff>
    </xdr:to>
    <xdr:graphicFrame macro="">
      <xdr:nvGraphicFramePr>
        <xdr:cNvPr id="3" name="Chart 2">
          <a:extLst>
            <a:ext uri="{FF2B5EF4-FFF2-40B4-BE49-F238E27FC236}">
              <a16:creationId xmlns:a16="http://schemas.microsoft.com/office/drawing/2014/main" id="{C5261A1E-8201-4DD8-8AC3-8213E5DA7D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205740</xdr:colOff>
      <xdr:row>8</xdr:row>
      <xdr:rowOff>53341</xdr:rowOff>
    </xdr:from>
    <xdr:to>
      <xdr:col>7</xdr:col>
      <xdr:colOff>419100</xdr:colOff>
      <xdr:row>14</xdr:row>
      <xdr:rowOff>106680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417CF6B3-2051-4063-83F8-1562F89D7F7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554980" y="1638301"/>
              <a:ext cx="883920"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655320</xdr:colOff>
      <xdr:row>6</xdr:row>
      <xdr:rowOff>121921</xdr:rowOff>
    </xdr:from>
    <xdr:to>
      <xdr:col>11</xdr:col>
      <xdr:colOff>434340</xdr:colOff>
      <xdr:row>17</xdr:row>
      <xdr:rowOff>45721</xdr:rowOff>
    </xdr:to>
    <mc:AlternateContent xmlns:mc="http://schemas.openxmlformats.org/markup-compatibility/2006" xmlns:a14="http://schemas.microsoft.com/office/drawing/2010/main">
      <mc:Choice Requires="a14">
        <xdr:graphicFrame macro="">
          <xdr:nvGraphicFramePr>
            <xdr:cNvPr id="4" name="Education Field">
              <a:extLst>
                <a:ext uri="{FF2B5EF4-FFF2-40B4-BE49-F238E27FC236}">
                  <a16:creationId xmlns:a16="http://schemas.microsoft.com/office/drawing/2014/main" id="{DF328B81-C734-47C0-A00A-86DA35633453}"/>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345680" y="1310641"/>
              <a:ext cx="1790700" cy="210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10</xdr:row>
      <xdr:rowOff>114301</xdr:rowOff>
    </xdr:from>
    <xdr:to>
      <xdr:col>1</xdr:col>
      <xdr:colOff>899160</xdr:colOff>
      <xdr:row>15</xdr:row>
      <xdr:rowOff>190501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0CCFE8AC-CF9F-49E9-80B5-CD4552B5448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095501"/>
              <a:ext cx="182880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331470</xdr:colOff>
      <xdr:row>8</xdr:row>
      <xdr:rowOff>99060</xdr:rowOff>
    </xdr:from>
    <xdr:to>
      <xdr:col>12</xdr:col>
      <xdr:colOff>209550</xdr:colOff>
      <xdr:row>22</xdr:row>
      <xdr:rowOff>68580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7E701DD-23F0-4548-8D59-903CB6B57D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6840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oneCellAnchor>
    <xdr:from>
      <xdr:col>0</xdr:col>
      <xdr:colOff>84666</xdr:colOff>
      <xdr:row>0</xdr:row>
      <xdr:rowOff>0</xdr:rowOff>
    </xdr:from>
    <xdr:ext cx="14863702" cy="7457840"/>
    <xdr:grpSp>
      <xdr:nvGrpSpPr>
        <xdr:cNvPr id="2" name="Shape 2">
          <a:extLst>
            <a:ext uri="{FF2B5EF4-FFF2-40B4-BE49-F238E27FC236}">
              <a16:creationId xmlns:a16="http://schemas.microsoft.com/office/drawing/2014/main" id="{00000000-0008-0000-0300-000002000000}"/>
            </a:ext>
          </a:extLst>
        </xdr:cNvPr>
        <xdr:cNvGrpSpPr/>
      </xdr:nvGrpSpPr>
      <xdr:grpSpPr>
        <a:xfrm>
          <a:off x="84666" y="0"/>
          <a:ext cx="14863702" cy="7457840"/>
          <a:chOff x="0" y="60488"/>
          <a:chExt cx="10746538" cy="7457840"/>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746538" cy="7457840"/>
            <a:chOff x="1752600" y="190500"/>
            <a:chExt cx="13537050" cy="7795667"/>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821300" y="210167"/>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923955" y="270899"/>
              <a:ext cx="7620094"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591222" y="5235108"/>
              <a:ext cx="3855222" cy="2635390"/>
            </a:xfrm>
            <a:prstGeom prst="roundRect">
              <a:avLst>
                <a:gd name="adj" fmla="val 767"/>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932522" y="1215714"/>
              <a:ext cx="13202703" cy="998848"/>
              <a:chOff x="1933265" y="1215714"/>
              <a:chExt cx="13316260"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933265" y="1215714"/>
                <a:ext cx="251490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923953" y="5215442"/>
              <a:ext cx="3648172" cy="2664891"/>
              <a:chOff x="1923953" y="2359024"/>
              <a:chExt cx="3648172" cy="2727216"/>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923953" y="2359024"/>
                <a:ext cx="3572806" cy="2727216"/>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0173" y="2294879"/>
              <a:ext cx="4438098" cy="2782894"/>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46" name="Shape 46">
              <a:extLst>
                <a:ext uri="{FF2B5EF4-FFF2-40B4-BE49-F238E27FC236}">
                  <a16:creationId xmlns:a16="http://schemas.microsoft.com/office/drawing/2014/main" id="{00000000-0008-0000-0300-00002E000000}"/>
                </a:ext>
              </a:extLst>
            </xdr:cNvPr>
            <xdr:cNvSpPr/>
          </xdr:nvSpPr>
          <xdr:spPr>
            <a:xfrm>
              <a:off x="1906819" y="2294880"/>
              <a:ext cx="4018277" cy="2803866"/>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6019343" y="2334213"/>
              <a:ext cx="4609450" cy="2782893"/>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540687" y="5205608"/>
              <a:ext cx="2784520" cy="2664891"/>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flipV="1">
              <a:off x="9831991" y="5524501"/>
              <a:ext cx="2302228" cy="54782"/>
            </a:xfrm>
            <a:prstGeom prst="straightConnector1">
              <a:avLst/>
            </a:prstGeom>
            <a:noFill/>
            <a:ln w="12700" cap="flat" cmpd="sng">
              <a:no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215442"/>
              <a:ext cx="2766941" cy="2647108"/>
            </a:xfrm>
            <a:prstGeom prst="roundRect">
              <a:avLst>
                <a:gd name="adj" fmla="val 221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0</xdr:col>
      <xdr:colOff>319853</xdr:colOff>
      <xdr:row>5</xdr:row>
      <xdr:rowOff>141110</xdr:rowOff>
    </xdr:from>
    <xdr:to>
      <xdr:col>3</xdr:col>
      <xdr:colOff>508001</xdr:colOff>
      <xdr:row>7</xdr:row>
      <xdr:rowOff>159925</xdr:rowOff>
    </xdr:to>
    <xdr:sp macro="" textlink="">
      <xdr:nvSpPr>
        <xdr:cNvPr id="3" name="TextBox 2">
          <a:extLst>
            <a:ext uri="{FF2B5EF4-FFF2-40B4-BE49-F238E27FC236}">
              <a16:creationId xmlns:a16="http://schemas.microsoft.com/office/drawing/2014/main" id="{E9919364-E275-4AB2-92D3-D5871005B471}"/>
            </a:ext>
          </a:extLst>
        </xdr:cNvPr>
        <xdr:cNvSpPr txBox="1"/>
      </xdr:nvSpPr>
      <xdr:spPr>
        <a:xfrm>
          <a:off x="319853" y="1081851"/>
          <a:ext cx="2163704" cy="395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B00000"/>
              </a:solidFill>
              <a:latin typeface="+mn-lt"/>
            </a:rPr>
            <a:t>TOTAL EMPLOYEES</a:t>
          </a:r>
        </a:p>
      </xdr:txBody>
    </xdr:sp>
    <xdr:clientData/>
  </xdr:twoCellAnchor>
  <xdr:twoCellAnchor>
    <xdr:from>
      <xdr:col>1</xdr:col>
      <xdr:colOff>395111</xdr:colOff>
      <xdr:row>7</xdr:row>
      <xdr:rowOff>141111</xdr:rowOff>
    </xdr:from>
    <xdr:to>
      <xdr:col>2</xdr:col>
      <xdr:colOff>592667</xdr:colOff>
      <xdr:row>9</xdr:row>
      <xdr:rowOff>122296</xdr:rowOff>
    </xdr:to>
    <xdr:sp macro="" textlink="KPI!B4">
      <xdr:nvSpPr>
        <xdr:cNvPr id="5" name="TextBox 4">
          <a:extLst>
            <a:ext uri="{FF2B5EF4-FFF2-40B4-BE49-F238E27FC236}">
              <a16:creationId xmlns:a16="http://schemas.microsoft.com/office/drawing/2014/main" id="{0D9B0DF2-20AE-4284-840A-24D70053F5C0}"/>
            </a:ext>
          </a:extLst>
        </xdr:cNvPr>
        <xdr:cNvSpPr txBox="1"/>
      </xdr:nvSpPr>
      <xdr:spPr>
        <a:xfrm>
          <a:off x="1053630" y="1458148"/>
          <a:ext cx="856074" cy="357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9CC9282-ED2D-4910-B5A5-E2252ECC98F7}" type="TxLink">
            <a:rPr lang="en-US" sz="1800" b="1" i="0" u="none" strike="noStrike">
              <a:solidFill>
                <a:srgbClr val="002060"/>
              </a:solidFill>
              <a:latin typeface="Calibri"/>
              <a:ea typeface="Calibri"/>
              <a:cs typeface="Calibri"/>
            </a:rPr>
            <a:pPr marL="0" indent="0"/>
            <a:t>1470</a:t>
          </a:fld>
          <a:endParaRPr lang="en-IN" sz="1800" b="1" i="0" u="none" strike="noStrike">
            <a:solidFill>
              <a:srgbClr val="002060"/>
            </a:solidFill>
            <a:latin typeface="Calibri"/>
            <a:ea typeface="Calibri"/>
            <a:cs typeface="Calibri"/>
          </a:endParaRPr>
        </a:p>
      </xdr:txBody>
    </xdr:sp>
    <xdr:clientData/>
  </xdr:twoCellAnchor>
  <xdr:twoCellAnchor>
    <xdr:from>
      <xdr:col>5</xdr:col>
      <xdr:colOff>395111</xdr:colOff>
      <xdr:row>5</xdr:row>
      <xdr:rowOff>122296</xdr:rowOff>
    </xdr:from>
    <xdr:to>
      <xdr:col>7</xdr:col>
      <xdr:colOff>620889</xdr:colOff>
      <xdr:row>7</xdr:row>
      <xdr:rowOff>159925</xdr:rowOff>
    </xdr:to>
    <xdr:sp macro="" textlink="">
      <xdr:nvSpPr>
        <xdr:cNvPr id="7" name="TextBox 6">
          <a:extLst>
            <a:ext uri="{FF2B5EF4-FFF2-40B4-BE49-F238E27FC236}">
              <a16:creationId xmlns:a16="http://schemas.microsoft.com/office/drawing/2014/main" id="{378EFA4C-BB68-4E19-A885-53CB4C03534C}"/>
            </a:ext>
          </a:extLst>
        </xdr:cNvPr>
        <xdr:cNvSpPr txBox="1"/>
      </xdr:nvSpPr>
      <xdr:spPr>
        <a:xfrm>
          <a:off x="3687704" y="1063037"/>
          <a:ext cx="1542815" cy="41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B00000"/>
              </a:solidFill>
              <a:latin typeface="+mn-lt"/>
              <a:ea typeface="+mn-ea"/>
              <a:cs typeface="+mn-cs"/>
            </a:rPr>
            <a:t>ATTRITION</a:t>
          </a:r>
        </a:p>
      </xdr:txBody>
    </xdr:sp>
    <xdr:clientData/>
  </xdr:twoCellAnchor>
  <xdr:twoCellAnchor>
    <xdr:from>
      <xdr:col>9</xdr:col>
      <xdr:colOff>282222</xdr:colOff>
      <xdr:row>5</xdr:row>
      <xdr:rowOff>131703</xdr:rowOff>
    </xdr:from>
    <xdr:to>
      <xdr:col>12</xdr:col>
      <xdr:colOff>272815</xdr:colOff>
      <xdr:row>7</xdr:row>
      <xdr:rowOff>178740</xdr:rowOff>
    </xdr:to>
    <xdr:sp macro="" textlink="">
      <xdr:nvSpPr>
        <xdr:cNvPr id="10" name="TextBox 9">
          <a:extLst>
            <a:ext uri="{FF2B5EF4-FFF2-40B4-BE49-F238E27FC236}">
              <a16:creationId xmlns:a16="http://schemas.microsoft.com/office/drawing/2014/main" id="{AFD0653F-4DF0-421D-899F-800A5B0DF60B}"/>
            </a:ext>
          </a:extLst>
        </xdr:cNvPr>
        <xdr:cNvSpPr txBox="1"/>
      </xdr:nvSpPr>
      <xdr:spPr>
        <a:xfrm>
          <a:off x="6208889" y="1072444"/>
          <a:ext cx="1966148"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B00000"/>
              </a:solidFill>
            </a:rPr>
            <a:t>ACTIVE</a:t>
          </a:r>
          <a:r>
            <a:rPr lang="en-IN" sz="1800" b="1" baseline="0">
              <a:solidFill>
                <a:srgbClr val="B00000"/>
              </a:solidFill>
            </a:rPr>
            <a:t> </a:t>
          </a:r>
          <a:r>
            <a:rPr lang="en-IN" sz="1800" b="1">
              <a:solidFill>
                <a:srgbClr val="B00000"/>
              </a:solidFill>
              <a:latin typeface="+mn-lt"/>
              <a:ea typeface="+mn-ea"/>
              <a:cs typeface="+mn-cs"/>
            </a:rPr>
            <a:t>EMPLOYEE</a:t>
          </a:r>
        </a:p>
      </xdr:txBody>
    </xdr:sp>
    <xdr:clientData/>
  </xdr:twoCellAnchor>
  <xdr:twoCellAnchor>
    <xdr:from>
      <xdr:col>10</xdr:col>
      <xdr:colOff>178742</xdr:colOff>
      <xdr:row>7</xdr:row>
      <xdr:rowOff>112889</xdr:rowOff>
    </xdr:from>
    <xdr:to>
      <xdr:col>11</xdr:col>
      <xdr:colOff>413927</xdr:colOff>
      <xdr:row>9</xdr:row>
      <xdr:rowOff>84667</xdr:rowOff>
    </xdr:to>
    <xdr:sp macro="" textlink="KPI!B12">
      <xdr:nvSpPr>
        <xdr:cNvPr id="11" name="TextBox 10">
          <a:extLst>
            <a:ext uri="{FF2B5EF4-FFF2-40B4-BE49-F238E27FC236}">
              <a16:creationId xmlns:a16="http://schemas.microsoft.com/office/drawing/2014/main" id="{1B806779-690C-452D-A2C6-09C346A69A35}"/>
            </a:ext>
          </a:extLst>
        </xdr:cNvPr>
        <xdr:cNvSpPr txBox="1"/>
      </xdr:nvSpPr>
      <xdr:spPr>
        <a:xfrm>
          <a:off x="6763927" y="1429926"/>
          <a:ext cx="893704" cy="348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7159D3C-E070-4DFD-8B07-5AC8BDBD4BE8}" type="TxLink">
            <a:rPr lang="en-US" sz="1600" b="1" i="0" u="none" strike="noStrike">
              <a:solidFill>
                <a:srgbClr val="000000"/>
              </a:solidFill>
              <a:latin typeface="Calibri"/>
              <a:ea typeface="Calibri"/>
              <a:cs typeface="Calibri"/>
            </a:rPr>
            <a:pPr marL="0" indent="0"/>
            <a:t>1233</a:t>
          </a:fld>
          <a:endParaRPr lang="en-IN" sz="1600" b="1" i="0" u="none" strike="noStrike">
            <a:solidFill>
              <a:srgbClr val="000000"/>
            </a:solidFill>
            <a:latin typeface="Calibri"/>
            <a:ea typeface="Calibri"/>
            <a:cs typeface="Calibri"/>
          </a:endParaRPr>
        </a:p>
      </xdr:txBody>
    </xdr:sp>
    <xdr:clientData/>
  </xdr:twoCellAnchor>
  <xdr:twoCellAnchor>
    <xdr:from>
      <xdr:col>13</xdr:col>
      <xdr:colOff>545629</xdr:colOff>
      <xdr:row>5</xdr:row>
      <xdr:rowOff>103481</xdr:rowOff>
    </xdr:from>
    <xdr:to>
      <xdr:col>16</xdr:col>
      <xdr:colOff>545630</xdr:colOff>
      <xdr:row>7</xdr:row>
      <xdr:rowOff>103482</xdr:rowOff>
    </xdr:to>
    <xdr:sp macro="" textlink="">
      <xdr:nvSpPr>
        <xdr:cNvPr id="12" name="TextBox 11">
          <a:extLst>
            <a:ext uri="{FF2B5EF4-FFF2-40B4-BE49-F238E27FC236}">
              <a16:creationId xmlns:a16="http://schemas.microsoft.com/office/drawing/2014/main" id="{6A5115C9-E3E7-4884-9FBC-EE7F4AF27FCF}"/>
            </a:ext>
          </a:extLst>
        </xdr:cNvPr>
        <xdr:cNvSpPr txBox="1"/>
      </xdr:nvSpPr>
      <xdr:spPr>
        <a:xfrm>
          <a:off x="9106370" y="1044222"/>
          <a:ext cx="1975556" cy="376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B00000"/>
              </a:solidFill>
              <a:latin typeface="+mn-lt"/>
              <a:ea typeface="+mn-ea"/>
              <a:cs typeface="+mn-cs"/>
            </a:rPr>
            <a:t>ATTRITION</a:t>
          </a:r>
          <a:r>
            <a:rPr lang="en-IN" sz="1800"/>
            <a:t>  </a:t>
          </a:r>
          <a:r>
            <a:rPr lang="en-IN" sz="1800" b="1">
              <a:solidFill>
                <a:srgbClr val="B00000"/>
              </a:solidFill>
            </a:rPr>
            <a:t>RATE</a:t>
          </a:r>
        </a:p>
      </xdr:txBody>
    </xdr:sp>
    <xdr:clientData/>
  </xdr:twoCellAnchor>
  <xdr:twoCellAnchor>
    <xdr:from>
      <xdr:col>14</xdr:col>
      <xdr:colOff>470372</xdr:colOff>
      <xdr:row>7</xdr:row>
      <xdr:rowOff>84667</xdr:rowOff>
    </xdr:from>
    <xdr:to>
      <xdr:col>15</xdr:col>
      <xdr:colOff>573853</xdr:colOff>
      <xdr:row>9</xdr:row>
      <xdr:rowOff>84666</xdr:rowOff>
    </xdr:to>
    <xdr:sp macro="" textlink="KPI!B15">
      <xdr:nvSpPr>
        <xdr:cNvPr id="14" name="TextBox 13">
          <a:extLst>
            <a:ext uri="{FF2B5EF4-FFF2-40B4-BE49-F238E27FC236}">
              <a16:creationId xmlns:a16="http://schemas.microsoft.com/office/drawing/2014/main" id="{E0B2CCEC-796A-453F-9722-C067F6707B04}"/>
            </a:ext>
          </a:extLst>
        </xdr:cNvPr>
        <xdr:cNvSpPr txBox="1"/>
      </xdr:nvSpPr>
      <xdr:spPr>
        <a:xfrm>
          <a:off x="9689631" y="1401704"/>
          <a:ext cx="762000" cy="376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489676D-73A8-4D7B-A127-24F308E72229}" type="TxLink">
            <a:rPr lang="en-US" sz="1600" b="1" i="0" u="none" strike="noStrike">
              <a:solidFill>
                <a:srgbClr val="000000"/>
              </a:solidFill>
              <a:latin typeface="Calibri"/>
              <a:ea typeface="Calibri"/>
              <a:cs typeface="Calibri"/>
            </a:rPr>
            <a:pPr marL="0" indent="0"/>
            <a:t>16%</a:t>
          </a:fld>
          <a:endParaRPr lang="en-IN" sz="1600" b="1" i="0" u="none" strike="noStrike">
            <a:solidFill>
              <a:srgbClr val="000000"/>
            </a:solidFill>
            <a:latin typeface="Calibri"/>
            <a:ea typeface="Calibri"/>
            <a:cs typeface="Calibri"/>
          </a:endParaRPr>
        </a:p>
      </xdr:txBody>
    </xdr:sp>
    <xdr:clientData/>
  </xdr:twoCellAnchor>
  <xdr:twoCellAnchor>
    <xdr:from>
      <xdr:col>18</xdr:col>
      <xdr:colOff>150519</xdr:colOff>
      <xdr:row>5</xdr:row>
      <xdr:rowOff>131703</xdr:rowOff>
    </xdr:from>
    <xdr:to>
      <xdr:col>21</xdr:col>
      <xdr:colOff>65852</xdr:colOff>
      <xdr:row>7</xdr:row>
      <xdr:rowOff>122296</xdr:rowOff>
    </xdr:to>
    <xdr:sp macro="" textlink="">
      <xdr:nvSpPr>
        <xdr:cNvPr id="15" name="TextBox 14">
          <a:extLst>
            <a:ext uri="{FF2B5EF4-FFF2-40B4-BE49-F238E27FC236}">
              <a16:creationId xmlns:a16="http://schemas.microsoft.com/office/drawing/2014/main" id="{A6A81D86-ED14-4B55-A44C-D1F46C158DE8}"/>
            </a:ext>
          </a:extLst>
        </xdr:cNvPr>
        <xdr:cNvSpPr txBox="1"/>
      </xdr:nvSpPr>
      <xdr:spPr>
        <a:xfrm>
          <a:off x="12003852" y="1072444"/>
          <a:ext cx="1890889" cy="366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B00000"/>
              </a:solidFill>
            </a:rPr>
            <a:t>AVERAGE </a:t>
          </a:r>
          <a:r>
            <a:rPr lang="en-IN" sz="1800" b="1">
              <a:solidFill>
                <a:srgbClr val="B00000"/>
              </a:solidFill>
              <a:latin typeface="+mn-lt"/>
              <a:ea typeface="+mn-ea"/>
              <a:cs typeface="+mn-cs"/>
            </a:rPr>
            <a:t>AGE</a:t>
          </a:r>
        </a:p>
      </xdr:txBody>
    </xdr:sp>
    <xdr:clientData/>
  </xdr:twoCellAnchor>
  <xdr:twoCellAnchor>
    <xdr:from>
      <xdr:col>19</xdr:col>
      <xdr:colOff>0</xdr:colOff>
      <xdr:row>7</xdr:row>
      <xdr:rowOff>122297</xdr:rowOff>
    </xdr:from>
    <xdr:to>
      <xdr:col>20</xdr:col>
      <xdr:colOff>47037</xdr:colOff>
      <xdr:row>9</xdr:row>
      <xdr:rowOff>75261</xdr:rowOff>
    </xdr:to>
    <xdr:sp macro="" textlink="KPI!B10">
      <xdr:nvSpPr>
        <xdr:cNvPr id="16" name="TextBox 15">
          <a:extLst>
            <a:ext uri="{FF2B5EF4-FFF2-40B4-BE49-F238E27FC236}">
              <a16:creationId xmlns:a16="http://schemas.microsoft.com/office/drawing/2014/main" id="{5BFD8138-EAB8-4B47-BE3D-E8F341E099EB}"/>
            </a:ext>
          </a:extLst>
        </xdr:cNvPr>
        <xdr:cNvSpPr txBox="1"/>
      </xdr:nvSpPr>
      <xdr:spPr>
        <a:xfrm>
          <a:off x="12511852" y="1439334"/>
          <a:ext cx="705555" cy="329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B096A15-9791-4406-83C0-8F5967D23D33}" type="TxLink">
            <a:rPr lang="en-US" sz="1600" b="1" i="0" u="none" strike="noStrike">
              <a:solidFill>
                <a:srgbClr val="000000"/>
              </a:solidFill>
              <a:latin typeface="Calibri"/>
              <a:ea typeface="Calibri"/>
              <a:cs typeface="Calibri"/>
            </a:rPr>
            <a:pPr marL="0" indent="0"/>
            <a:t>37</a:t>
          </a:fld>
          <a:endParaRPr lang="en-IN" sz="1600" b="1" i="0" u="none" strike="noStrike">
            <a:solidFill>
              <a:srgbClr val="000000"/>
            </a:solidFill>
            <a:latin typeface="Calibri"/>
            <a:ea typeface="Calibri"/>
            <a:cs typeface="Calibri"/>
          </a:endParaRPr>
        </a:p>
      </xdr:txBody>
    </xdr:sp>
    <xdr:clientData/>
  </xdr:twoCellAnchor>
  <xdr:oneCellAnchor>
    <xdr:from>
      <xdr:col>3</xdr:col>
      <xdr:colOff>479777</xdr:colOff>
      <xdr:row>6</xdr:row>
      <xdr:rowOff>0</xdr:rowOff>
    </xdr:from>
    <xdr:ext cx="333375" cy="314325"/>
    <xdr:pic>
      <xdr:nvPicPr>
        <xdr:cNvPr id="54" name="image4.png">
          <a:extLst>
            <a:ext uri="{FF2B5EF4-FFF2-40B4-BE49-F238E27FC236}">
              <a16:creationId xmlns:a16="http://schemas.microsoft.com/office/drawing/2014/main" id="{637F7C7F-12C0-49D9-A12B-69F013FC305B}"/>
            </a:ext>
          </a:extLst>
        </xdr:cNvPr>
        <xdr:cNvPicPr preferRelativeResize="0"/>
      </xdr:nvPicPr>
      <xdr:blipFill>
        <a:blip xmlns:r="http://schemas.openxmlformats.org/officeDocument/2006/relationships" r:embed="rId1" cstate="print"/>
        <a:stretch>
          <a:fillRect/>
        </a:stretch>
      </xdr:blipFill>
      <xdr:spPr>
        <a:xfrm>
          <a:off x="2455333" y="1128889"/>
          <a:ext cx="333375" cy="314325"/>
        </a:xfrm>
        <a:prstGeom prst="rect">
          <a:avLst/>
        </a:prstGeom>
        <a:noFill/>
      </xdr:spPr>
    </xdr:pic>
    <xdr:clientData fLocksWithSheet="0"/>
  </xdr:oneCellAnchor>
  <xdr:oneCellAnchor>
    <xdr:from>
      <xdr:col>12</xdr:col>
      <xdr:colOff>348075</xdr:colOff>
      <xdr:row>5</xdr:row>
      <xdr:rowOff>131704</xdr:rowOff>
    </xdr:from>
    <xdr:ext cx="419100" cy="304800"/>
    <xdr:pic>
      <xdr:nvPicPr>
        <xdr:cNvPr id="55" name="image5.png">
          <a:extLst>
            <a:ext uri="{FF2B5EF4-FFF2-40B4-BE49-F238E27FC236}">
              <a16:creationId xmlns:a16="http://schemas.microsoft.com/office/drawing/2014/main" id="{AAA7FB90-4879-446E-8C0C-4ED105E55731}"/>
            </a:ext>
          </a:extLst>
        </xdr:cNvPr>
        <xdr:cNvPicPr preferRelativeResize="0"/>
      </xdr:nvPicPr>
      <xdr:blipFill>
        <a:blip xmlns:r="http://schemas.openxmlformats.org/officeDocument/2006/relationships" r:embed="rId2" cstate="print"/>
        <a:stretch>
          <a:fillRect/>
        </a:stretch>
      </xdr:blipFill>
      <xdr:spPr>
        <a:xfrm>
          <a:off x="8250297" y="1072445"/>
          <a:ext cx="419100" cy="304800"/>
        </a:xfrm>
        <a:prstGeom prst="rect">
          <a:avLst/>
        </a:prstGeom>
        <a:noFill/>
      </xdr:spPr>
    </xdr:pic>
    <xdr:clientData fLocksWithSheet="0"/>
  </xdr:oneCellAnchor>
  <xdr:oneCellAnchor>
    <xdr:from>
      <xdr:col>21</xdr:col>
      <xdr:colOff>206963</xdr:colOff>
      <xdr:row>5</xdr:row>
      <xdr:rowOff>150516</xdr:rowOff>
    </xdr:from>
    <xdr:ext cx="474017" cy="348076"/>
    <xdr:pic>
      <xdr:nvPicPr>
        <xdr:cNvPr id="56" name="image6.png">
          <a:extLst>
            <a:ext uri="{FF2B5EF4-FFF2-40B4-BE49-F238E27FC236}">
              <a16:creationId xmlns:a16="http://schemas.microsoft.com/office/drawing/2014/main" id="{03987EC3-1BBB-48D0-BDD7-8E9980DFB52D}"/>
            </a:ext>
          </a:extLst>
        </xdr:cNvPr>
        <xdr:cNvPicPr preferRelativeResize="0"/>
      </xdr:nvPicPr>
      <xdr:blipFill>
        <a:blip xmlns:r="http://schemas.openxmlformats.org/officeDocument/2006/relationships" r:embed="rId3" cstate="print"/>
        <a:stretch>
          <a:fillRect/>
        </a:stretch>
      </xdr:blipFill>
      <xdr:spPr>
        <a:xfrm>
          <a:off x="14035852" y="1091257"/>
          <a:ext cx="474017" cy="348076"/>
        </a:xfrm>
        <a:prstGeom prst="rect">
          <a:avLst/>
        </a:prstGeom>
        <a:noFill/>
      </xdr:spPr>
    </xdr:pic>
    <xdr:clientData fLocksWithSheet="0"/>
  </xdr:oneCellAnchor>
  <xdr:oneCellAnchor>
    <xdr:from>
      <xdr:col>16</xdr:col>
      <xdr:colOff>639704</xdr:colOff>
      <xdr:row>5</xdr:row>
      <xdr:rowOff>141111</xdr:rowOff>
    </xdr:from>
    <xdr:ext cx="390525" cy="314325"/>
    <xdr:pic>
      <xdr:nvPicPr>
        <xdr:cNvPr id="57" name="image2.png">
          <a:extLst>
            <a:ext uri="{FF2B5EF4-FFF2-40B4-BE49-F238E27FC236}">
              <a16:creationId xmlns:a16="http://schemas.microsoft.com/office/drawing/2014/main" id="{72B18C1B-D3E7-4763-BE08-BC9E64D9AF6A}"/>
            </a:ext>
          </a:extLst>
        </xdr:cNvPr>
        <xdr:cNvPicPr preferRelativeResize="0"/>
      </xdr:nvPicPr>
      <xdr:blipFill>
        <a:blip xmlns:r="http://schemas.openxmlformats.org/officeDocument/2006/relationships" r:embed="rId4" cstate="print"/>
        <a:stretch>
          <a:fillRect/>
        </a:stretch>
      </xdr:blipFill>
      <xdr:spPr>
        <a:xfrm>
          <a:off x="11176000" y="1081852"/>
          <a:ext cx="390525" cy="314325"/>
        </a:xfrm>
        <a:prstGeom prst="rect">
          <a:avLst/>
        </a:prstGeom>
        <a:noFill/>
      </xdr:spPr>
    </xdr:pic>
    <xdr:clientData fLocksWithSheet="0"/>
  </xdr:oneCellAnchor>
  <xdr:oneCellAnchor>
    <xdr:from>
      <xdr:col>7</xdr:col>
      <xdr:colOff>649110</xdr:colOff>
      <xdr:row>5</xdr:row>
      <xdr:rowOff>122296</xdr:rowOff>
    </xdr:from>
    <xdr:ext cx="485775" cy="400050"/>
    <xdr:pic>
      <xdr:nvPicPr>
        <xdr:cNvPr id="58" name="image7.png">
          <a:extLst>
            <a:ext uri="{FF2B5EF4-FFF2-40B4-BE49-F238E27FC236}">
              <a16:creationId xmlns:a16="http://schemas.microsoft.com/office/drawing/2014/main" id="{4023A827-7365-48D0-B77E-80EE4A54A9F7}"/>
            </a:ext>
          </a:extLst>
        </xdr:cNvPr>
        <xdr:cNvPicPr preferRelativeResize="0"/>
      </xdr:nvPicPr>
      <xdr:blipFill>
        <a:blip xmlns:r="http://schemas.openxmlformats.org/officeDocument/2006/relationships" r:embed="rId5" cstate="print"/>
        <a:stretch>
          <a:fillRect/>
        </a:stretch>
      </xdr:blipFill>
      <xdr:spPr>
        <a:xfrm>
          <a:off x="5258740" y="1063037"/>
          <a:ext cx="485775" cy="400050"/>
        </a:xfrm>
        <a:prstGeom prst="rect">
          <a:avLst/>
        </a:prstGeom>
        <a:noFill/>
      </xdr:spPr>
    </xdr:pic>
    <xdr:clientData fLocksWithSheet="0"/>
  </xdr:oneCellAnchor>
  <xdr:twoCellAnchor>
    <xdr:from>
      <xdr:col>1</xdr:col>
      <xdr:colOff>442148</xdr:colOff>
      <xdr:row>0</xdr:row>
      <xdr:rowOff>65852</xdr:rowOff>
    </xdr:from>
    <xdr:to>
      <xdr:col>12</xdr:col>
      <xdr:colOff>498593</xdr:colOff>
      <xdr:row>3</xdr:row>
      <xdr:rowOff>159925</xdr:rowOff>
    </xdr:to>
    <xdr:sp macro="" textlink="">
      <xdr:nvSpPr>
        <xdr:cNvPr id="17" name="TextBox 16">
          <a:extLst>
            <a:ext uri="{FF2B5EF4-FFF2-40B4-BE49-F238E27FC236}">
              <a16:creationId xmlns:a16="http://schemas.microsoft.com/office/drawing/2014/main" id="{5691D602-3F61-46E2-B001-73AFE08AEAFA}"/>
            </a:ext>
          </a:extLst>
        </xdr:cNvPr>
        <xdr:cNvSpPr txBox="1"/>
      </xdr:nvSpPr>
      <xdr:spPr>
        <a:xfrm>
          <a:off x="1100667" y="65852"/>
          <a:ext cx="7300148" cy="658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b="1">
              <a:solidFill>
                <a:srgbClr val="0070C0"/>
              </a:solidFill>
            </a:rPr>
            <a:t>  HR ANALYTICS DASHBOARD</a:t>
          </a:r>
        </a:p>
      </xdr:txBody>
    </xdr:sp>
    <xdr:clientData/>
  </xdr:twoCellAnchor>
  <xdr:oneCellAnchor>
    <xdr:from>
      <xdr:col>0</xdr:col>
      <xdr:colOff>442148</xdr:colOff>
      <xdr:row>0</xdr:row>
      <xdr:rowOff>178741</xdr:rowOff>
    </xdr:from>
    <xdr:ext cx="893704" cy="602074"/>
    <xdr:pic>
      <xdr:nvPicPr>
        <xdr:cNvPr id="59" name="image1.png">
          <a:extLst>
            <a:ext uri="{FF2B5EF4-FFF2-40B4-BE49-F238E27FC236}">
              <a16:creationId xmlns:a16="http://schemas.microsoft.com/office/drawing/2014/main" id="{A8536DF1-4489-4945-99F6-F4690EC4BF61}"/>
            </a:ext>
          </a:extLst>
        </xdr:cNvPr>
        <xdr:cNvPicPr preferRelativeResize="0"/>
      </xdr:nvPicPr>
      <xdr:blipFill>
        <a:blip xmlns:r="http://schemas.openxmlformats.org/officeDocument/2006/relationships" r:embed="rId6" cstate="print"/>
        <a:stretch>
          <a:fillRect/>
        </a:stretch>
      </xdr:blipFill>
      <xdr:spPr>
        <a:xfrm>
          <a:off x="442148" y="178741"/>
          <a:ext cx="893704" cy="602074"/>
        </a:xfrm>
        <a:prstGeom prst="rect">
          <a:avLst/>
        </a:prstGeom>
        <a:noFill/>
      </xdr:spPr>
    </xdr:pic>
    <xdr:clientData fLocksWithSheet="0"/>
  </xdr:oneCellAnchor>
  <xdr:oneCellAnchor>
    <xdr:from>
      <xdr:col>13</xdr:col>
      <xdr:colOff>338665</xdr:colOff>
      <xdr:row>0</xdr:row>
      <xdr:rowOff>169333</xdr:rowOff>
    </xdr:from>
    <xdr:ext cx="780816" cy="602074"/>
    <xdr:pic>
      <xdr:nvPicPr>
        <xdr:cNvPr id="60" name="image3.png">
          <a:extLst>
            <a:ext uri="{FF2B5EF4-FFF2-40B4-BE49-F238E27FC236}">
              <a16:creationId xmlns:a16="http://schemas.microsoft.com/office/drawing/2014/main" id="{7D9AB2AB-EEB2-465D-BAB5-1284C04AA7B6}"/>
            </a:ext>
          </a:extLst>
        </xdr:cNvPr>
        <xdr:cNvPicPr preferRelativeResize="0"/>
      </xdr:nvPicPr>
      <xdr:blipFill>
        <a:blip xmlns:r="http://schemas.openxmlformats.org/officeDocument/2006/relationships" r:embed="rId7" cstate="print"/>
        <a:stretch>
          <a:fillRect/>
        </a:stretch>
      </xdr:blipFill>
      <xdr:spPr>
        <a:xfrm>
          <a:off x="8899406" y="169333"/>
          <a:ext cx="780816" cy="602074"/>
        </a:xfrm>
        <a:prstGeom prst="rect">
          <a:avLst/>
        </a:prstGeom>
        <a:noFill/>
      </xdr:spPr>
    </xdr:pic>
    <xdr:clientData fLocksWithSheet="0"/>
  </xdr:oneCellAnchor>
  <xdr:twoCellAnchor>
    <xdr:from>
      <xdr:col>14</xdr:col>
      <xdr:colOff>573852</xdr:colOff>
      <xdr:row>0</xdr:row>
      <xdr:rowOff>112890</xdr:rowOff>
    </xdr:from>
    <xdr:to>
      <xdr:col>16</xdr:col>
      <xdr:colOff>413925</xdr:colOff>
      <xdr:row>4</xdr:row>
      <xdr:rowOff>65851</xdr:rowOff>
    </xdr:to>
    <xdr:sp macro="" textlink="">
      <xdr:nvSpPr>
        <xdr:cNvPr id="18" name="TextBox 17">
          <a:extLst>
            <a:ext uri="{FF2B5EF4-FFF2-40B4-BE49-F238E27FC236}">
              <a16:creationId xmlns:a16="http://schemas.microsoft.com/office/drawing/2014/main" id="{D98EA352-84E7-4A41-837E-77AF3815CFEE}"/>
            </a:ext>
          </a:extLst>
        </xdr:cNvPr>
        <xdr:cNvSpPr txBox="1"/>
      </xdr:nvSpPr>
      <xdr:spPr>
        <a:xfrm>
          <a:off x="9793111" y="112890"/>
          <a:ext cx="1157110" cy="705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C00000"/>
              </a:solidFill>
            </a:rPr>
            <a:t>JOB SATISFACTION</a:t>
          </a:r>
          <a:r>
            <a:rPr lang="en-IN" sz="1200" b="1" baseline="0">
              <a:solidFill>
                <a:srgbClr val="C00000"/>
              </a:solidFill>
            </a:rPr>
            <a:t> RATING</a:t>
          </a:r>
          <a:endParaRPr lang="en-IN" sz="1200" b="1">
            <a:solidFill>
              <a:srgbClr val="C00000"/>
            </a:solidFill>
          </a:endParaRPr>
        </a:p>
      </xdr:txBody>
    </xdr:sp>
    <xdr:clientData/>
  </xdr:twoCellAnchor>
  <xdr:twoCellAnchor>
    <xdr:from>
      <xdr:col>16</xdr:col>
      <xdr:colOff>216371</xdr:colOff>
      <xdr:row>0</xdr:row>
      <xdr:rowOff>0</xdr:rowOff>
    </xdr:from>
    <xdr:to>
      <xdr:col>17</xdr:col>
      <xdr:colOff>508000</xdr:colOff>
      <xdr:row>4</xdr:row>
      <xdr:rowOff>84667</xdr:rowOff>
    </xdr:to>
    <xdr:graphicFrame macro="">
      <xdr:nvGraphicFramePr>
        <xdr:cNvPr id="61" name="Chart 60">
          <a:extLst>
            <a:ext uri="{FF2B5EF4-FFF2-40B4-BE49-F238E27FC236}">
              <a16:creationId xmlns:a16="http://schemas.microsoft.com/office/drawing/2014/main" id="{E97F1AB8-8C08-47B4-91D6-5F080CA3C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620889</xdr:colOff>
      <xdr:row>1</xdr:row>
      <xdr:rowOff>56445</xdr:rowOff>
    </xdr:from>
    <xdr:to>
      <xdr:col>21</xdr:col>
      <xdr:colOff>451554</xdr:colOff>
      <xdr:row>3</xdr:row>
      <xdr:rowOff>69709</xdr:rowOff>
    </xdr:to>
    <xdr:sp macro="" textlink="">
      <xdr:nvSpPr>
        <xdr:cNvPr id="68" name="Rectangle 67">
          <a:extLst>
            <a:ext uri="{FF2B5EF4-FFF2-40B4-BE49-F238E27FC236}">
              <a16:creationId xmlns:a16="http://schemas.microsoft.com/office/drawing/2014/main" id="{913DD7EC-40E0-49E8-8930-0A2B380FDEE7}"/>
            </a:ext>
          </a:extLst>
        </xdr:cNvPr>
        <xdr:cNvSpPr/>
      </xdr:nvSpPr>
      <xdr:spPr>
        <a:xfrm>
          <a:off x="11815704" y="244593"/>
          <a:ext cx="2464739" cy="38956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67263</xdr:colOff>
      <xdr:row>1</xdr:row>
      <xdr:rowOff>45719</xdr:rowOff>
    </xdr:from>
    <xdr:to>
      <xdr:col>18</xdr:col>
      <xdr:colOff>433023</xdr:colOff>
      <xdr:row>2</xdr:row>
      <xdr:rowOff>169991</xdr:rowOff>
    </xdr:to>
    <xdr:sp macro="" textlink="">
      <xdr:nvSpPr>
        <xdr:cNvPr id="69" name="Star: 5 Points 68">
          <a:extLst>
            <a:ext uri="{FF2B5EF4-FFF2-40B4-BE49-F238E27FC236}">
              <a16:creationId xmlns:a16="http://schemas.microsoft.com/office/drawing/2014/main" id="{A15FA26A-200C-4E47-97EE-0D24AA51D504}"/>
            </a:ext>
          </a:extLst>
        </xdr:cNvPr>
        <xdr:cNvSpPr/>
      </xdr:nvSpPr>
      <xdr:spPr>
        <a:xfrm>
          <a:off x="11920596" y="233867"/>
          <a:ext cx="365760" cy="312420"/>
        </a:xfrm>
        <a:prstGeom prst="star5">
          <a:avLst/>
        </a:prstGeom>
        <a:solidFill>
          <a:srgbClr val="B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506024</xdr:colOff>
      <xdr:row>1</xdr:row>
      <xdr:rowOff>53339</xdr:rowOff>
    </xdr:from>
    <xdr:to>
      <xdr:col>20</xdr:col>
      <xdr:colOff>213266</xdr:colOff>
      <xdr:row>2</xdr:row>
      <xdr:rowOff>177611</xdr:rowOff>
    </xdr:to>
    <xdr:sp macro="" textlink="">
      <xdr:nvSpPr>
        <xdr:cNvPr id="70" name="Star: 5 Points 69">
          <a:extLst>
            <a:ext uri="{FF2B5EF4-FFF2-40B4-BE49-F238E27FC236}">
              <a16:creationId xmlns:a16="http://schemas.microsoft.com/office/drawing/2014/main" id="{12491750-1C6D-4551-BD3C-BD631262C57E}"/>
            </a:ext>
          </a:extLst>
        </xdr:cNvPr>
        <xdr:cNvSpPr/>
      </xdr:nvSpPr>
      <xdr:spPr>
        <a:xfrm>
          <a:off x="13017876" y="241487"/>
          <a:ext cx="365760" cy="312420"/>
        </a:xfrm>
        <a:prstGeom prst="star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388526</xdr:colOff>
      <xdr:row>1</xdr:row>
      <xdr:rowOff>68579</xdr:rowOff>
    </xdr:from>
    <xdr:to>
      <xdr:col>21</xdr:col>
      <xdr:colOff>95767</xdr:colOff>
      <xdr:row>3</xdr:row>
      <xdr:rowOff>4703</xdr:rowOff>
    </xdr:to>
    <xdr:sp macro="" textlink="">
      <xdr:nvSpPr>
        <xdr:cNvPr id="71" name="Star: 5 Points 70">
          <a:extLst>
            <a:ext uri="{FF2B5EF4-FFF2-40B4-BE49-F238E27FC236}">
              <a16:creationId xmlns:a16="http://schemas.microsoft.com/office/drawing/2014/main" id="{A55C3E2D-DEE0-4A49-BE19-9B4D7EBD3F6E}"/>
            </a:ext>
          </a:extLst>
        </xdr:cNvPr>
        <xdr:cNvSpPr/>
      </xdr:nvSpPr>
      <xdr:spPr>
        <a:xfrm>
          <a:off x="13558896" y="256727"/>
          <a:ext cx="365760" cy="312420"/>
        </a:xfrm>
        <a:prstGeom prst="star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623523</xdr:colOff>
      <xdr:row>1</xdr:row>
      <xdr:rowOff>45719</xdr:rowOff>
    </xdr:from>
    <xdr:to>
      <xdr:col>19</xdr:col>
      <xdr:colOff>330764</xdr:colOff>
      <xdr:row>2</xdr:row>
      <xdr:rowOff>169991</xdr:rowOff>
    </xdr:to>
    <xdr:sp macro="" textlink="">
      <xdr:nvSpPr>
        <xdr:cNvPr id="72" name="Star: 5 Points 71">
          <a:extLst>
            <a:ext uri="{FF2B5EF4-FFF2-40B4-BE49-F238E27FC236}">
              <a16:creationId xmlns:a16="http://schemas.microsoft.com/office/drawing/2014/main" id="{5F420500-B0B7-4517-8E3B-F20D4350DF1E}"/>
            </a:ext>
          </a:extLst>
        </xdr:cNvPr>
        <xdr:cNvSpPr/>
      </xdr:nvSpPr>
      <xdr:spPr>
        <a:xfrm>
          <a:off x="12476856" y="233867"/>
          <a:ext cx="365760" cy="312420"/>
        </a:xfrm>
        <a:prstGeom prst="star5">
          <a:avLst/>
        </a:prstGeom>
        <a:solidFill>
          <a:srgbClr val="B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18815</xdr:colOff>
      <xdr:row>1</xdr:row>
      <xdr:rowOff>53339</xdr:rowOff>
    </xdr:from>
    <xdr:to>
      <xdr:col>20</xdr:col>
      <xdr:colOff>30386</xdr:colOff>
      <xdr:row>2</xdr:row>
      <xdr:rowOff>122297</xdr:rowOff>
    </xdr:to>
    <xdr:cxnSp macro="">
      <xdr:nvCxnSpPr>
        <xdr:cNvPr id="20" name="Straight Connector 19">
          <a:extLst>
            <a:ext uri="{FF2B5EF4-FFF2-40B4-BE49-F238E27FC236}">
              <a16:creationId xmlns:a16="http://schemas.microsoft.com/office/drawing/2014/main" id="{863B7156-E93D-4A0E-B976-A3378836F9E6}"/>
            </a:ext>
          </a:extLst>
        </xdr:cNvPr>
        <xdr:cNvCxnSpPr>
          <a:stCxn id="70" idx="0"/>
        </xdr:cNvCxnSpPr>
      </xdr:nvCxnSpPr>
      <xdr:spPr>
        <a:xfrm flipH="1">
          <a:off x="13189185" y="241487"/>
          <a:ext cx="11571" cy="25710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0</xdr:col>
      <xdr:colOff>365760</xdr:colOff>
      <xdr:row>1</xdr:row>
      <xdr:rowOff>124272</xdr:rowOff>
    </xdr:to>
    <xdr:sp macro="" textlink="">
      <xdr:nvSpPr>
        <xdr:cNvPr id="62" name="Star: 5 Points 61">
          <a:extLst>
            <a:ext uri="{FF2B5EF4-FFF2-40B4-BE49-F238E27FC236}">
              <a16:creationId xmlns:a16="http://schemas.microsoft.com/office/drawing/2014/main" id="{9881F73A-978D-475F-95DD-176682DB55DF}"/>
            </a:ext>
          </a:extLst>
        </xdr:cNvPr>
        <xdr:cNvSpPr/>
      </xdr:nvSpPr>
      <xdr:spPr>
        <a:xfrm>
          <a:off x="0" y="0"/>
          <a:ext cx="365760" cy="312420"/>
        </a:xfrm>
        <a:prstGeom prst="star5">
          <a:avLst>
            <a:gd name="adj" fmla="val 0"/>
            <a:gd name="hf" fmla="val 105146"/>
            <a:gd name="vf" fmla="val 110557"/>
          </a:avLst>
        </a:prstGeom>
        <a:solidFill>
          <a:srgbClr val="B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489184</xdr:colOff>
      <xdr:row>1</xdr:row>
      <xdr:rowOff>43932</xdr:rowOff>
    </xdr:from>
    <xdr:to>
      <xdr:col>20</xdr:col>
      <xdr:colOff>196426</xdr:colOff>
      <xdr:row>2</xdr:row>
      <xdr:rowOff>168204</xdr:rowOff>
    </xdr:to>
    <xdr:sp macro="" textlink="">
      <xdr:nvSpPr>
        <xdr:cNvPr id="63" name="Star: 5 Points 62">
          <a:extLst>
            <a:ext uri="{FF2B5EF4-FFF2-40B4-BE49-F238E27FC236}">
              <a16:creationId xmlns:a16="http://schemas.microsoft.com/office/drawing/2014/main" id="{570E3F31-003D-4C4A-B598-45D0AF8049AB}"/>
            </a:ext>
          </a:extLst>
        </xdr:cNvPr>
        <xdr:cNvSpPr/>
      </xdr:nvSpPr>
      <xdr:spPr>
        <a:xfrm>
          <a:off x="13001036" y="232080"/>
          <a:ext cx="365760" cy="312420"/>
        </a:xfrm>
        <a:prstGeom prst="star5">
          <a:avLst/>
        </a:prstGeom>
        <a:solidFill>
          <a:srgbClr val="B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381000</xdr:colOff>
      <xdr:row>1</xdr:row>
      <xdr:rowOff>51646</xdr:rowOff>
    </xdr:from>
    <xdr:to>
      <xdr:col>21</xdr:col>
      <xdr:colOff>88241</xdr:colOff>
      <xdr:row>2</xdr:row>
      <xdr:rowOff>175918</xdr:rowOff>
    </xdr:to>
    <xdr:sp macro="" textlink="">
      <xdr:nvSpPr>
        <xdr:cNvPr id="73" name="Star: 5 Points 72">
          <a:extLst>
            <a:ext uri="{FF2B5EF4-FFF2-40B4-BE49-F238E27FC236}">
              <a16:creationId xmlns:a16="http://schemas.microsoft.com/office/drawing/2014/main" id="{65841DF5-AC59-49E8-A270-665F7347858D}"/>
            </a:ext>
          </a:extLst>
        </xdr:cNvPr>
        <xdr:cNvSpPr/>
      </xdr:nvSpPr>
      <xdr:spPr>
        <a:xfrm>
          <a:off x="13551370" y="239794"/>
          <a:ext cx="365760" cy="312420"/>
        </a:xfrm>
        <a:prstGeom prst="star5">
          <a:avLst/>
        </a:prstGeom>
        <a:solidFill>
          <a:schemeClr val="bg1">
            <a:lumMod val="85000"/>
          </a:schemeClr>
        </a:solid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319853</xdr:colOff>
      <xdr:row>16</xdr:row>
      <xdr:rowOff>169334</xdr:rowOff>
    </xdr:from>
    <xdr:to>
      <xdr:col>7</xdr:col>
      <xdr:colOff>28223</xdr:colOff>
      <xdr:row>24</xdr:row>
      <xdr:rowOff>94075</xdr:rowOff>
    </xdr:to>
    <xdr:grpSp>
      <xdr:nvGrpSpPr>
        <xdr:cNvPr id="28" name="Group 27">
          <a:extLst>
            <a:ext uri="{FF2B5EF4-FFF2-40B4-BE49-F238E27FC236}">
              <a16:creationId xmlns:a16="http://schemas.microsoft.com/office/drawing/2014/main" id="{9CC66009-69E4-4358-9E95-55A5BC120EBC}"/>
            </a:ext>
          </a:extLst>
        </xdr:cNvPr>
        <xdr:cNvGrpSpPr/>
      </xdr:nvGrpSpPr>
      <xdr:grpSpPr>
        <a:xfrm>
          <a:off x="319853" y="3179704"/>
          <a:ext cx="4318000" cy="1429927"/>
          <a:chOff x="319853" y="3179704"/>
          <a:chExt cx="4318000" cy="1429927"/>
        </a:xfrm>
      </xdr:grpSpPr>
      <xdr:graphicFrame macro="">
        <xdr:nvGraphicFramePr>
          <xdr:cNvPr id="74" name="Chart 73">
            <a:extLst>
              <a:ext uri="{FF2B5EF4-FFF2-40B4-BE49-F238E27FC236}">
                <a16:creationId xmlns:a16="http://schemas.microsoft.com/office/drawing/2014/main" id="{154C409C-48D9-4829-859E-9ACFDC449709}"/>
              </a:ext>
            </a:extLst>
          </xdr:cNvPr>
          <xdr:cNvGraphicFramePr>
            <a:graphicFrameLocks/>
          </xdr:cNvGraphicFramePr>
        </xdr:nvGraphicFramePr>
        <xdr:xfrm>
          <a:off x="319853" y="3236149"/>
          <a:ext cx="1505185" cy="1373482"/>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75" name="Chart 74">
            <a:extLst>
              <a:ext uri="{FF2B5EF4-FFF2-40B4-BE49-F238E27FC236}">
                <a16:creationId xmlns:a16="http://schemas.microsoft.com/office/drawing/2014/main" id="{B4F6201E-385B-4929-B4D7-BA7DE7C6A312}"/>
              </a:ext>
            </a:extLst>
          </xdr:cNvPr>
          <xdr:cNvGraphicFramePr>
            <a:graphicFrameLocks/>
          </xdr:cNvGraphicFramePr>
        </xdr:nvGraphicFramePr>
        <xdr:xfrm>
          <a:off x="3132668" y="3179704"/>
          <a:ext cx="1505185" cy="1373482"/>
        </xdr:xfrm>
        <a:graphic>
          <a:graphicData uri="http://schemas.openxmlformats.org/drawingml/2006/chart">
            <c:chart xmlns:c="http://schemas.openxmlformats.org/drawingml/2006/chart" xmlns:r="http://schemas.openxmlformats.org/officeDocument/2006/relationships" r:id="rId10"/>
          </a:graphicData>
        </a:graphic>
      </xdr:graphicFrame>
      <xdr:sp macro="" textlink="gender!B8">
        <xdr:nvSpPr>
          <xdr:cNvPr id="23" name="TextBox 22">
            <a:extLst>
              <a:ext uri="{FF2B5EF4-FFF2-40B4-BE49-F238E27FC236}">
                <a16:creationId xmlns:a16="http://schemas.microsoft.com/office/drawing/2014/main" id="{EAB722D3-C09D-41DC-874D-C4AA7AFF631C}"/>
              </a:ext>
            </a:extLst>
          </xdr:cNvPr>
          <xdr:cNvSpPr txBox="1"/>
        </xdr:nvSpPr>
        <xdr:spPr>
          <a:xfrm>
            <a:off x="818445" y="3744148"/>
            <a:ext cx="583260" cy="348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69E69DD-B502-4103-861F-70EAB92DA610}" type="TxLink">
              <a:rPr lang="en-US" sz="1800" b="1" i="0" u="none" strike="noStrike">
                <a:solidFill>
                  <a:srgbClr val="002060"/>
                </a:solidFill>
                <a:latin typeface="Calibri"/>
                <a:ea typeface="Calibri"/>
                <a:cs typeface="Calibri"/>
              </a:rPr>
              <a:pPr marL="0" indent="0"/>
              <a:t>588</a:t>
            </a:fld>
            <a:endParaRPr lang="en-IN" sz="1800" b="1" i="0" u="none" strike="noStrike">
              <a:solidFill>
                <a:srgbClr val="002060"/>
              </a:solidFill>
              <a:latin typeface="Calibri"/>
              <a:ea typeface="Calibri"/>
              <a:cs typeface="Calibri"/>
            </a:endParaRPr>
          </a:p>
        </xdr:txBody>
      </xdr:sp>
      <xdr:pic>
        <xdr:nvPicPr>
          <xdr:cNvPr id="25" name="Graphic 24" descr="Male profile">
            <a:extLst>
              <a:ext uri="{FF2B5EF4-FFF2-40B4-BE49-F238E27FC236}">
                <a16:creationId xmlns:a16="http://schemas.microsoft.com/office/drawing/2014/main" id="{0B95CE32-CF87-45F1-85B3-D9E7FF15167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549406" y="3569852"/>
            <a:ext cx="720000" cy="720000"/>
          </a:xfrm>
          <a:prstGeom prst="rect">
            <a:avLst/>
          </a:prstGeom>
        </xdr:spPr>
      </xdr:pic>
      <xdr:pic>
        <xdr:nvPicPr>
          <xdr:cNvPr id="27" name="Graphic 26" descr="Female Profile">
            <a:extLst>
              <a:ext uri="{FF2B5EF4-FFF2-40B4-BE49-F238E27FC236}">
                <a16:creationId xmlns:a16="http://schemas.microsoft.com/office/drawing/2014/main" id="{0831EB4E-FF17-4ED6-8EB2-9E9909E371D2}"/>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664592" y="3560444"/>
            <a:ext cx="720000" cy="720000"/>
          </a:xfrm>
          <a:prstGeom prst="rect">
            <a:avLst/>
          </a:prstGeom>
        </xdr:spPr>
      </xdr:pic>
    </xdr:grpSp>
    <xdr:clientData/>
  </xdr:twoCellAnchor>
  <xdr:twoCellAnchor>
    <xdr:from>
      <xdr:col>0</xdr:col>
      <xdr:colOff>310444</xdr:colOff>
      <xdr:row>10</xdr:row>
      <xdr:rowOff>150520</xdr:rowOff>
    </xdr:from>
    <xdr:to>
      <xdr:col>4</xdr:col>
      <xdr:colOff>498593</xdr:colOff>
      <xdr:row>12</xdr:row>
      <xdr:rowOff>131703</xdr:rowOff>
    </xdr:to>
    <xdr:sp macro="" textlink="">
      <xdr:nvSpPr>
        <xdr:cNvPr id="78" name="TextBox 77">
          <a:extLst>
            <a:ext uri="{FF2B5EF4-FFF2-40B4-BE49-F238E27FC236}">
              <a16:creationId xmlns:a16="http://schemas.microsoft.com/office/drawing/2014/main" id="{59DC35BE-56D3-45BD-A667-7A80499B777E}"/>
            </a:ext>
          </a:extLst>
        </xdr:cNvPr>
        <xdr:cNvSpPr txBox="1"/>
      </xdr:nvSpPr>
      <xdr:spPr>
        <a:xfrm>
          <a:off x="310444" y="2032001"/>
          <a:ext cx="2822223" cy="357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B00000"/>
              </a:solidFill>
            </a:rPr>
            <a:t>TOTAL </a:t>
          </a:r>
          <a:r>
            <a:rPr lang="en-IN" sz="1400" b="1">
              <a:solidFill>
                <a:srgbClr val="B00000"/>
              </a:solidFill>
              <a:latin typeface="+mn-lt"/>
              <a:ea typeface="+mn-ea"/>
              <a:cs typeface="+mn-cs"/>
            </a:rPr>
            <a:t>EMPLOYEES</a:t>
          </a:r>
          <a:r>
            <a:rPr lang="en-IN" sz="1400" b="1">
              <a:solidFill>
                <a:srgbClr val="B00000"/>
              </a:solidFill>
            </a:rPr>
            <a:t> BY GENDER</a:t>
          </a:r>
        </a:p>
      </xdr:txBody>
    </xdr:sp>
    <xdr:clientData/>
  </xdr:twoCellAnchor>
  <xdr:twoCellAnchor editAs="oneCell">
    <xdr:from>
      <xdr:col>2</xdr:col>
      <xdr:colOff>197556</xdr:colOff>
      <xdr:row>13</xdr:row>
      <xdr:rowOff>75259</xdr:rowOff>
    </xdr:from>
    <xdr:to>
      <xdr:col>5</xdr:col>
      <xdr:colOff>28222</xdr:colOff>
      <xdr:row>17</xdr:row>
      <xdr:rowOff>37629</xdr:rowOff>
    </xdr:to>
    <mc:AlternateContent xmlns:mc="http://schemas.openxmlformats.org/markup-compatibility/2006" xmlns:a14="http://schemas.microsoft.com/office/drawing/2010/main">
      <mc:Choice Requires="a14">
        <xdr:graphicFrame macro="">
          <xdr:nvGraphicFramePr>
            <xdr:cNvPr id="79" name="Gender 1">
              <a:extLst>
                <a:ext uri="{FF2B5EF4-FFF2-40B4-BE49-F238E27FC236}">
                  <a16:creationId xmlns:a16="http://schemas.microsoft.com/office/drawing/2014/main" id="{3981BAAB-E25E-405E-868A-FB7EDF65DFC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45259" y="2521185"/>
              <a:ext cx="1806222" cy="714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376296</xdr:colOff>
      <xdr:row>12</xdr:row>
      <xdr:rowOff>131703</xdr:rowOff>
    </xdr:from>
    <xdr:to>
      <xdr:col>14</xdr:col>
      <xdr:colOff>602074</xdr:colOff>
      <xdr:row>23</xdr:row>
      <xdr:rowOff>159926</xdr:rowOff>
    </xdr:to>
    <xdr:graphicFrame macro="">
      <xdr:nvGraphicFramePr>
        <xdr:cNvPr id="80" name="Chart 79">
          <a:extLst>
            <a:ext uri="{FF2B5EF4-FFF2-40B4-BE49-F238E27FC236}">
              <a16:creationId xmlns:a16="http://schemas.microsoft.com/office/drawing/2014/main" id="{9E389A20-7C0E-429D-BC5C-D764EC625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282223</xdr:colOff>
      <xdr:row>11</xdr:row>
      <xdr:rowOff>9408</xdr:rowOff>
    </xdr:from>
    <xdr:to>
      <xdr:col>10</xdr:col>
      <xdr:colOff>649112</xdr:colOff>
      <xdr:row>13</xdr:row>
      <xdr:rowOff>18816</xdr:rowOff>
    </xdr:to>
    <xdr:sp macro="" textlink="">
      <xdr:nvSpPr>
        <xdr:cNvPr id="81" name="TextBox 80">
          <a:extLst>
            <a:ext uri="{FF2B5EF4-FFF2-40B4-BE49-F238E27FC236}">
              <a16:creationId xmlns:a16="http://schemas.microsoft.com/office/drawing/2014/main" id="{70FE1AE3-59C5-4518-9486-9FF8A7FF3447}"/>
            </a:ext>
          </a:extLst>
        </xdr:cNvPr>
        <xdr:cNvSpPr txBox="1"/>
      </xdr:nvSpPr>
      <xdr:spPr>
        <a:xfrm>
          <a:off x="4891853" y="2079038"/>
          <a:ext cx="2342444" cy="385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B00000"/>
              </a:solidFill>
              <a:latin typeface="+mn-lt"/>
              <a:ea typeface="+mn-ea"/>
              <a:cs typeface="+mn-cs"/>
            </a:rPr>
            <a:t>EDUCATION</a:t>
          </a:r>
          <a:r>
            <a:rPr lang="en-IN" sz="1400" b="1">
              <a:solidFill>
                <a:srgbClr val="B00000"/>
              </a:solidFill>
            </a:rPr>
            <a:t> WISE ATTRITION</a:t>
          </a:r>
        </a:p>
      </xdr:txBody>
    </xdr:sp>
    <xdr:clientData/>
  </xdr:twoCellAnchor>
  <xdr:twoCellAnchor>
    <xdr:from>
      <xdr:col>15</xdr:col>
      <xdr:colOff>178742</xdr:colOff>
      <xdr:row>12</xdr:row>
      <xdr:rowOff>159926</xdr:rowOff>
    </xdr:from>
    <xdr:to>
      <xdr:col>22</xdr:col>
      <xdr:colOff>319852</xdr:colOff>
      <xdr:row>24</xdr:row>
      <xdr:rowOff>75259</xdr:rowOff>
    </xdr:to>
    <mc:AlternateContent xmlns:mc="http://schemas.openxmlformats.org/markup-compatibility/2006">
      <mc:Choice xmlns:cx1="http://schemas.microsoft.com/office/drawing/2015/9/8/chartex" Requires="cx1">
        <xdr:graphicFrame macro="">
          <xdr:nvGraphicFramePr>
            <xdr:cNvPr id="82" name="Chart 81">
              <a:extLst>
                <a:ext uri="{FF2B5EF4-FFF2-40B4-BE49-F238E27FC236}">
                  <a16:creationId xmlns:a16="http://schemas.microsoft.com/office/drawing/2014/main" id="{BCA444D8-4D30-42A9-8BAF-DD48AB68F2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0008542" y="2445926"/>
              <a:ext cx="4728350" cy="22013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188149</xdr:colOff>
      <xdr:row>10</xdr:row>
      <xdr:rowOff>169335</xdr:rowOff>
    </xdr:from>
    <xdr:to>
      <xdr:col>18</xdr:col>
      <xdr:colOff>470372</xdr:colOff>
      <xdr:row>12</xdr:row>
      <xdr:rowOff>141112</xdr:rowOff>
    </xdr:to>
    <xdr:sp macro="" textlink="">
      <xdr:nvSpPr>
        <xdr:cNvPr id="84" name="TextBox 83">
          <a:extLst>
            <a:ext uri="{FF2B5EF4-FFF2-40B4-BE49-F238E27FC236}">
              <a16:creationId xmlns:a16="http://schemas.microsoft.com/office/drawing/2014/main" id="{329A8482-A229-41CA-8DF6-A12EB6F08380}"/>
            </a:ext>
          </a:extLst>
        </xdr:cNvPr>
        <xdr:cNvSpPr txBox="1"/>
      </xdr:nvSpPr>
      <xdr:spPr>
        <a:xfrm>
          <a:off x="10065927" y="2050816"/>
          <a:ext cx="2257778" cy="348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B00000"/>
              </a:solidFill>
              <a:latin typeface="+mn-lt"/>
              <a:ea typeface="+mn-ea"/>
              <a:cs typeface="+mn-cs"/>
            </a:rPr>
            <a:t>ATTRITION BY JOB ROLE</a:t>
          </a:r>
        </a:p>
      </xdr:txBody>
    </xdr:sp>
    <xdr:clientData/>
  </xdr:twoCellAnchor>
  <xdr:twoCellAnchor>
    <xdr:from>
      <xdr:col>0</xdr:col>
      <xdr:colOff>526815</xdr:colOff>
      <xdr:row>27</xdr:row>
      <xdr:rowOff>188147</xdr:rowOff>
    </xdr:from>
    <xdr:to>
      <xdr:col>6</xdr:col>
      <xdr:colOff>131704</xdr:colOff>
      <xdr:row>38</xdr:row>
      <xdr:rowOff>84666</xdr:rowOff>
    </xdr:to>
    <xdr:graphicFrame macro="">
      <xdr:nvGraphicFramePr>
        <xdr:cNvPr id="76" name="Chart 75">
          <a:extLst>
            <a:ext uri="{FF2B5EF4-FFF2-40B4-BE49-F238E27FC236}">
              <a16:creationId xmlns:a16="http://schemas.microsoft.com/office/drawing/2014/main" id="{B03EA869-3739-4820-A03D-3E9C2E5BC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385704</xdr:colOff>
      <xdr:row>25</xdr:row>
      <xdr:rowOff>159927</xdr:rowOff>
    </xdr:from>
    <xdr:to>
      <xdr:col>4</xdr:col>
      <xdr:colOff>235185</xdr:colOff>
      <xdr:row>27</xdr:row>
      <xdr:rowOff>122297</xdr:rowOff>
    </xdr:to>
    <xdr:sp macro="" textlink="">
      <xdr:nvSpPr>
        <xdr:cNvPr id="6" name="TextBox 5">
          <a:extLst>
            <a:ext uri="{FF2B5EF4-FFF2-40B4-BE49-F238E27FC236}">
              <a16:creationId xmlns:a16="http://schemas.microsoft.com/office/drawing/2014/main" id="{927C5268-93A5-42C6-92EE-A749F094C3D4}"/>
            </a:ext>
          </a:extLst>
        </xdr:cNvPr>
        <xdr:cNvSpPr txBox="1"/>
      </xdr:nvSpPr>
      <xdr:spPr>
        <a:xfrm>
          <a:off x="385704" y="4863631"/>
          <a:ext cx="2483555" cy="338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B00000"/>
              </a:solidFill>
              <a:latin typeface="+mn-lt"/>
              <a:ea typeface="+mn-ea"/>
              <a:cs typeface="+mn-cs"/>
            </a:rPr>
            <a:t>DEPARTMENT</a:t>
          </a:r>
          <a:r>
            <a:rPr lang="en-IN" sz="1400" b="1">
              <a:solidFill>
                <a:srgbClr val="B00000"/>
              </a:solidFill>
            </a:rPr>
            <a:t> WISE </a:t>
          </a:r>
          <a:r>
            <a:rPr lang="en-IN" sz="1400" b="1">
              <a:solidFill>
                <a:srgbClr val="B00000"/>
              </a:solidFill>
              <a:latin typeface="+mn-lt"/>
              <a:ea typeface="+mn-ea"/>
              <a:cs typeface="+mn-cs"/>
            </a:rPr>
            <a:t>ATTRITION</a:t>
          </a:r>
        </a:p>
      </xdr:txBody>
    </xdr:sp>
    <xdr:clientData/>
  </xdr:twoCellAnchor>
  <xdr:twoCellAnchor editAs="oneCell">
    <xdr:from>
      <xdr:col>26</xdr:col>
      <xdr:colOff>0</xdr:colOff>
      <xdr:row>0</xdr:row>
      <xdr:rowOff>0</xdr:rowOff>
    </xdr:from>
    <xdr:to>
      <xdr:col>28</xdr:col>
      <xdr:colOff>38100</xdr:colOff>
      <xdr:row>1</xdr:row>
      <xdr:rowOff>15240</xdr:rowOff>
    </xdr:to>
    <xdr:pic>
      <xdr:nvPicPr>
        <xdr:cNvPr id="77" name="Picture 76">
          <a:extLst>
            <a:ext uri="{FF2B5EF4-FFF2-40B4-BE49-F238E27FC236}">
              <a16:creationId xmlns:a16="http://schemas.microsoft.com/office/drawing/2014/main" id="{75271374-3F05-4A77-B6D5-ABFED63CCF35}"/>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7038320" y="0"/>
          <a:ext cx="1744980" cy="205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489186</xdr:colOff>
      <xdr:row>28</xdr:row>
      <xdr:rowOff>0</xdr:rowOff>
    </xdr:from>
    <xdr:to>
      <xdr:col>12</xdr:col>
      <xdr:colOff>573853</xdr:colOff>
      <xdr:row>38</xdr:row>
      <xdr:rowOff>112890</xdr:rowOff>
    </xdr:to>
    <xdr:graphicFrame macro="">
      <xdr:nvGraphicFramePr>
        <xdr:cNvPr id="83" name="Chart 82">
          <a:extLst>
            <a:ext uri="{FF2B5EF4-FFF2-40B4-BE49-F238E27FC236}">
              <a16:creationId xmlns:a16="http://schemas.microsoft.com/office/drawing/2014/main" id="{4563D5E6-651C-498B-9E9D-D36893560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470370</xdr:colOff>
      <xdr:row>25</xdr:row>
      <xdr:rowOff>178740</xdr:rowOff>
    </xdr:from>
    <xdr:to>
      <xdr:col>10</xdr:col>
      <xdr:colOff>460964</xdr:colOff>
      <xdr:row>27</xdr:row>
      <xdr:rowOff>131704</xdr:rowOff>
    </xdr:to>
    <xdr:sp macro="" textlink="">
      <xdr:nvSpPr>
        <xdr:cNvPr id="9" name="TextBox 8">
          <a:extLst>
            <a:ext uri="{FF2B5EF4-FFF2-40B4-BE49-F238E27FC236}">
              <a16:creationId xmlns:a16="http://schemas.microsoft.com/office/drawing/2014/main" id="{EA4F3236-E18D-467B-913D-0B0C67D6CBEB}"/>
            </a:ext>
          </a:extLst>
        </xdr:cNvPr>
        <xdr:cNvSpPr txBox="1"/>
      </xdr:nvSpPr>
      <xdr:spPr>
        <a:xfrm>
          <a:off x="4421481" y="4882444"/>
          <a:ext cx="2624668" cy="329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rPr>
            <a:t>ATTRITION BY </a:t>
          </a:r>
          <a:r>
            <a:rPr lang="en-IN" sz="1400" b="1">
              <a:solidFill>
                <a:srgbClr val="C00000"/>
              </a:solidFill>
              <a:latin typeface="+mn-lt"/>
              <a:ea typeface="+mn-ea"/>
              <a:cs typeface="+mn-cs"/>
            </a:rPr>
            <a:t>AGE</a:t>
          </a:r>
          <a:r>
            <a:rPr lang="en-IN" sz="1400" b="1">
              <a:solidFill>
                <a:srgbClr val="C00000"/>
              </a:solidFill>
            </a:rPr>
            <a:t> GROUP</a:t>
          </a:r>
        </a:p>
      </xdr:txBody>
    </xdr:sp>
    <xdr:clientData/>
  </xdr:twoCellAnchor>
  <xdr:twoCellAnchor>
    <xdr:from>
      <xdr:col>13</xdr:col>
      <xdr:colOff>253999</xdr:colOff>
      <xdr:row>28</xdr:row>
      <xdr:rowOff>28222</xdr:rowOff>
    </xdr:from>
    <xdr:to>
      <xdr:col>17</xdr:col>
      <xdr:colOff>395110</xdr:colOff>
      <xdr:row>38</xdr:row>
      <xdr:rowOff>141111</xdr:rowOff>
    </xdr:to>
    <mc:AlternateContent xmlns:mc="http://schemas.openxmlformats.org/markup-compatibility/2006">
      <mc:Choice xmlns:cx2="http://schemas.microsoft.com/office/drawing/2015/10/21/chartex" Requires="cx2">
        <xdr:graphicFrame macro="">
          <xdr:nvGraphicFramePr>
            <xdr:cNvPr id="85" name="Chart 84">
              <a:extLst>
                <a:ext uri="{FF2B5EF4-FFF2-40B4-BE49-F238E27FC236}">
                  <a16:creationId xmlns:a16="http://schemas.microsoft.com/office/drawing/2014/main" id="{AEE841A6-109E-4773-B685-1C8A3CF46F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8773159" y="5362222"/>
              <a:ext cx="2762391" cy="20178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206963</xdr:colOff>
      <xdr:row>25</xdr:row>
      <xdr:rowOff>141112</xdr:rowOff>
    </xdr:from>
    <xdr:to>
      <xdr:col>17</xdr:col>
      <xdr:colOff>310444</xdr:colOff>
      <xdr:row>27</xdr:row>
      <xdr:rowOff>84668</xdr:rowOff>
    </xdr:to>
    <xdr:sp macro="" textlink="">
      <xdr:nvSpPr>
        <xdr:cNvPr id="13" name="TextBox 12">
          <a:extLst>
            <a:ext uri="{FF2B5EF4-FFF2-40B4-BE49-F238E27FC236}">
              <a16:creationId xmlns:a16="http://schemas.microsoft.com/office/drawing/2014/main" id="{19200F18-81CC-4B6C-BB74-E93C41462813}"/>
            </a:ext>
          </a:extLst>
        </xdr:cNvPr>
        <xdr:cNvSpPr txBox="1"/>
      </xdr:nvSpPr>
      <xdr:spPr>
        <a:xfrm>
          <a:off x="8767704" y="4844816"/>
          <a:ext cx="2737555" cy="319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C00000"/>
              </a:solidFill>
            </a:rPr>
            <a:t>ATTRITION BY MARITAL STATUS</a:t>
          </a:r>
        </a:p>
      </xdr:txBody>
    </xdr:sp>
    <xdr:clientData/>
  </xdr:twoCellAnchor>
  <xdr:twoCellAnchor editAs="oneCell">
    <xdr:from>
      <xdr:col>18</xdr:col>
      <xdr:colOff>178740</xdr:colOff>
      <xdr:row>27</xdr:row>
      <xdr:rowOff>47037</xdr:rowOff>
    </xdr:from>
    <xdr:to>
      <xdr:col>20</xdr:col>
      <xdr:colOff>567736</xdr:colOff>
      <xdr:row>38</xdr:row>
      <xdr:rowOff>80527</xdr:rowOff>
    </xdr:to>
    <mc:AlternateContent xmlns:mc="http://schemas.openxmlformats.org/markup-compatibility/2006" xmlns:a14="http://schemas.microsoft.com/office/drawing/2010/main">
      <mc:Choice Requires="a14">
        <xdr:graphicFrame macro="">
          <xdr:nvGraphicFramePr>
            <xdr:cNvPr id="86" name="Education Field 1">
              <a:extLst>
                <a:ext uri="{FF2B5EF4-FFF2-40B4-BE49-F238E27FC236}">
                  <a16:creationId xmlns:a16="http://schemas.microsoft.com/office/drawing/2014/main" id="{DF2BE3B3-312A-4EB9-8215-363B4B60930F}"/>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2032073" y="5127037"/>
              <a:ext cx="1706033" cy="210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28223</xdr:colOff>
      <xdr:row>29</xdr:row>
      <xdr:rowOff>56445</xdr:rowOff>
    </xdr:from>
    <xdr:to>
      <xdr:col>22</xdr:col>
      <xdr:colOff>235187</xdr:colOff>
      <xdr:row>35</xdr:row>
      <xdr:rowOff>169615</xdr:rowOff>
    </xdr:to>
    <mc:AlternateContent xmlns:mc="http://schemas.openxmlformats.org/markup-compatibility/2006" xmlns:a14="http://schemas.microsoft.com/office/drawing/2010/main">
      <mc:Choice Requires="a14">
        <xdr:graphicFrame macro="">
          <xdr:nvGraphicFramePr>
            <xdr:cNvPr id="87" name="Department 1">
              <a:extLst>
                <a:ext uri="{FF2B5EF4-FFF2-40B4-BE49-F238E27FC236}">
                  <a16:creationId xmlns:a16="http://schemas.microsoft.com/office/drawing/2014/main" id="{5049BAF1-B360-40B4-AEFA-A2F88C9F134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857112" y="5512741"/>
              <a:ext cx="865482" cy="1242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56445</xdr:colOff>
      <xdr:row>25</xdr:row>
      <xdr:rowOff>159926</xdr:rowOff>
    </xdr:from>
    <xdr:to>
      <xdr:col>20</xdr:col>
      <xdr:colOff>423334</xdr:colOff>
      <xdr:row>27</xdr:row>
      <xdr:rowOff>47037</xdr:rowOff>
    </xdr:to>
    <xdr:sp macro="" textlink="">
      <xdr:nvSpPr>
        <xdr:cNvPr id="19" name="TextBox 18">
          <a:extLst>
            <a:ext uri="{FF2B5EF4-FFF2-40B4-BE49-F238E27FC236}">
              <a16:creationId xmlns:a16="http://schemas.microsoft.com/office/drawing/2014/main" id="{AF5511CC-F884-4405-B4E1-A8F09F5F0782}"/>
            </a:ext>
          </a:extLst>
        </xdr:cNvPr>
        <xdr:cNvSpPr txBox="1"/>
      </xdr:nvSpPr>
      <xdr:spPr>
        <a:xfrm>
          <a:off x="11909778" y="4863630"/>
          <a:ext cx="1683926" cy="263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400" b="1" i="0" u="none" strike="noStrike">
              <a:solidFill>
                <a:srgbClr val="002060"/>
              </a:solidFill>
              <a:latin typeface="Calibri"/>
              <a:ea typeface="Calibri"/>
              <a:cs typeface="Calibri"/>
            </a:rPr>
            <a:t>EDUCATION FIELD</a:t>
          </a:r>
        </a:p>
      </xdr:txBody>
    </xdr:sp>
    <xdr:clientData/>
  </xdr:twoCellAnchor>
  <xdr:twoCellAnchor>
    <xdr:from>
      <xdr:col>20</xdr:col>
      <xdr:colOff>442150</xdr:colOff>
      <xdr:row>26</xdr:row>
      <xdr:rowOff>150518</xdr:rowOff>
    </xdr:from>
    <xdr:to>
      <xdr:col>22</xdr:col>
      <xdr:colOff>357483</xdr:colOff>
      <xdr:row>28</xdr:row>
      <xdr:rowOff>84667</xdr:rowOff>
    </xdr:to>
    <xdr:sp macro="" textlink="">
      <xdr:nvSpPr>
        <xdr:cNvPr id="21" name="TextBox 20">
          <a:extLst>
            <a:ext uri="{FF2B5EF4-FFF2-40B4-BE49-F238E27FC236}">
              <a16:creationId xmlns:a16="http://schemas.microsoft.com/office/drawing/2014/main" id="{8844E591-0A1D-4897-A1FA-0EF9E8CA47EB}"/>
            </a:ext>
          </a:extLst>
        </xdr:cNvPr>
        <xdr:cNvSpPr txBox="1"/>
      </xdr:nvSpPr>
      <xdr:spPr>
        <a:xfrm>
          <a:off x="13612520" y="5042370"/>
          <a:ext cx="1232370" cy="310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rgbClr val="002060"/>
              </a:solidFill>
              <a:latin typeface="Calibri"/>
              <a:ea typeface="Calibri"/>
              <a:cs typeface="Calibri"/>
            </a:rPr>
            <a:t>DEPARTMENT</a:t>
          </a:r>
        </a:p>
      </xdr:txBody>
    </xdr:sp>
    <xdr:clientData/>
  </xdr:twoCellAnchor>
  <xdr:twoCellAnchor>
    <xdr:from>
      <xdr:col>2</xdr:col>
      <xdr:colOff>348074</xdr:colOff>
      <xdr:row>13</xdr:row>
      <xdr:rowOff>0</xdr:rowOff>
    </xdr:from>
    <xdr:to>
      <xdr:col>3</xdr:col>
      <xdr:colOff>526814</xdr:colOff>
      <xdr:row>14</xdr:row>
      <xdr:rowOff>94074</xdr:rowOff>
    </xdr:to>
    <xdr:sp macro="" textlink="">
      <xdr:nvSpPr>
        <xdr:cNvPr id="22" name="TextBox 21">
          <a:extLst>
            <a:ext uri="{FF2B5EF4-FFF2-40B4-BE49-F238E27FC236}">
              <a16:creationId xmlns:a16="http://schemas.microsoft.com/office/drawing/2014/main" id="{FEE92F55-13FC-4F94-A124-20A8F4E84158}"/>
            </a:ext>
          </a:extLst>
        </xdr:cNvPr>
        <xdr:cNvSpPr txBox="1"/>
      </xdr:nvSpPr>
      <xdr:spPr>
        <a:xfrm>
          <a:off x="1665111" y="2445926"/>
          <a:ext cx="837259"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rgbClr val="002060"/>
              </a:solidFill>
              <a:latin typeface="Calibri"/>
              <a:ea typeface="Calibri"/>
              <a:cs typeface="Calibri"/>
            </a:rPr>
            <a:t>GENDER</a:t>
          </a:r>
        </a:p>
      </xdr:txBody>
    </xdr:sp>
    <xdr:clientData/>
  </xdr:twoCellAnchor>
  <xdr:twoCellAnchor>
    <xdr:from>
      <xdr:col>5</xdr:col>
      <xdr:colOff>602074</xdr:colOff>
      <xdr:row>7</xdr:row>
      <xdr:rowOff>178741</xdr:rowOff>
    </xdr:from>
    <xdr:to>
      <xdr:col>7</xdr:col>
      <xdr:colOff>56444</xdr:colOff>
      <xdr:row>9</xdr:row>
      <xdr:rowOff>75260</xdr:rowOff>
    </xdr:to>
    <xdr:sp macro="" textlink="KPI!B7">
      <xdr:nvSpPr>
        <xdr:cNvPr id="24" name="TextBox 23">
          <a:extLst>
            <a:ext uri="{FF2B5EF4-FFF2-40B4-BE49-F238E27FC236}">
              <a16:creationId xmlns:a16="http://schemas.microsoft.com/office/drawing/2014/main" id="{F6FA0EA1-1C0A-411B-96D0-71DCE1C46BB0}"/>
            </a:ext>
          </a:extLst>
        </xdr:cNvPr>
        <xdr:cNvSpPr txBox="1"/>
      </xdr:nvSpPr>
      <xdr:spPr>
        <a:xfrm>
          <a:off x="3894667" y="1495778"/>
          <a:ext cx="771407" cy="27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5AC8DDC-DE9B-44A2-9FF8-C98728B99025}" type="TxLink">
            <a:rPr lang="en-US" sz="1800" b="1" i="0" u="none" strike="noStrike">
              <a:solidFill>
                <a:srgbClr val="002060"/>
              </a:solidFill>
              <a:latin typeface="Calibri"/>
              <a:ea typeface="Calibri"/>
              <a:cs typeface="Calibri"/>
            </a:rPr>
            <a:pPr marL="0" indent="0"/>
            <a:t>237</a:t>
          </a:fld>
          <a:endParaRPr lang="en-IN" sz="1800" b="1" i="0" u="none" strike="noStrike">
            <a:solidFill>
              <a:srgbClr val="002060"/>
            </a:solidFill>
            <a:latin typeface="Calibri"/>
            <a:ea typeface="Calibri"/>
            <a:cs typeface="Calibri"/>
          </a:endParaRPr>
        </a:p>
      </xdr:txBody>
    </xdr:sp>
    <xdr:clientData/>
  </xdr:twoCellAnchor>
</xdr:wsDr>
</file>

<file path=xl/drawings/drawing11.xml><?xml version="1.0" encoding="utf-8"?>
<c:userShapes xmlns:c="http://schemas.openxmlformats.org/drawingml/2006/chart">
  <cdr:relSizeAnchor xmlns:cdr="http://schemas.openxmlformats.org/drawingml/2006/chartDrawing">
    <cdr:from>
      <cdr:x>0.38739</cdr:x>
      <cdr:y>0.34832</cdr:y>
    </cdr:from>
    <cdr:to>
      <cdr:x>0.75676</cdr:x>
      <cdr:y>0.62921</cdr:y>
    </cdr:to>
    <cdr:sp macro="" textlink="Rating!$B$6">
      <cdr:nvSpPr>
        <cdr:cNvPr id="2" name="TextBox 1">
          <a:extLst xmlns:a="http://schemas.openxmlformats.org/drawingml/2006/main">
            <a:ext uri="{FF2B5EF4-FFF2-40B4-BE49-F238E27FC236}">
              <a16:creationId xmlns:a16="http://schemas.microsoft.com/office/drawing/2014/main" id="{DCF23F19-D3EB-4869-B300-C71E424608CC}"/>
            </a:ext>
          </a:extLst>
        </cdr:cNvPr>
        <cdr:cNvSpPr txBox="1"/>
      </cdr:nvSpPr>
      <cdr:spPr>
        <a:xfrm xmlns:a="http://schemas.openxmlformats.org/drawingml/2006/main">
          <a:off x="404518" y="291631"/>
          <a:ext cx="385704" cy="23518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1"/>
            <a:t>3</a:t>
          </a:r>
        </a:p>
      </cdr:txBody>
    </cdr:sp>
  </cdr:relSizeAnchor>
</c:userShapes>
</file>

<file path=xl/drawings/drawing12.xml><?xml version="1.0" encoding="utf-8"?>
<c:userShapes xmlns:c="http://schemas.openxmlformats.org/drawingml/2006/chart">
  <cdr:relSizeAnchor xmlns:cdr="http://schemas.openxmlformats.org/drawingml/2006/chartDrawing">
    <cdr:from>
      <cdr:x>0.31875</cdr:x>
      <cdr:y>0.36986</cdr:y>
    </cdr:from>
    <cdr:to>
      <cdr:x>0.74375</cdr:x>
      <cdr:y>0.62329</cdr:y>
    </cdr:to>
    <cdr:sp macro="" textlink="gender!$B$9">
      <cdr:nvSpPr>
        <cdr:cNvPr id="2" name="TextBox 22">
          <a:extLst xmlns:a="http://schemas.openxmlformats.org/drawingml/2006/main">
            <a:ext uri="{FF2B5EF4-FFF2-40B4-BE49-F238E27FC236}">
              <a16:creationId xmlns:a16="http://schemas.microsoft.com/office/drawing/2014/main" id="{EAB722D3-C09D-41DC-874D-C4AA7AFF631C}"/>
            </a:ext>
          </a:extLst>
        </cdr:cNvPr>
        <cdr:cNvSpPr txBox="1"/>
      </cdr:nvSpPr>
      <cdr:spPr>
        <a:xfrm xmlns:a="http://schemas.openxmlformats.org/drawingml/2006/main">
          <a:off x="479776" y="508000"/>
          <a:ext cx="639704" cy="34807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horzOverflow="clip"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fld id="{BD0201D3-4C13-4A59-BB07-277AF6D3E7CD}" type="TxLink">
            <a:rPr lang="en-US" sz="1800" b="1" i="0" u="none" strike="noStrike">
              <a:solidFill>
                <a:srgbClr val="002060"/>
              </a:solidFill>
              <a:latin typeface="Calibri"/>
              <a:ea typeface="Calibri"/>
              <a:cs typeface="Calibri"/>
            </a:rPr>
            <a:pPr marL="0" indent="0"/>
            <a:t>882</a:t>
          </a:fld>
          <a:endParaRPr lang="en-IN" sz="1800" b="1" i="0" u="none" strike="noStrike">
            <a:solidFill>
              <a:srgbClr val="002060"/>
            </a:solidFill>
            <a:latin typeface="Calibri"/>
            <a:ea typeface="Calibri"/>
            <a:cs typeface="Calibri"/>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dhika Bhedurkar" refreshedDate="45990.853186342596" createdVersion="6" refreshedVersion="6" minRefreshableVersion="3" recordCount="1470" xr:uid="{7BC45306-0EB6-4FE4-BB42-22E8040AB832}">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664921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C3D099-D596-477A-98F8-E18017387034}"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A10"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06FF0E-C6CA-49D3-A563-BA8ED69ED02A}"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A7"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attrition count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2DD314-F7C3-44E3-8B0D-938EB54F37BF}"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Number" fld="7"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A3DD5F-854A-4A13-8728-BA0CC06BB425}"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C26"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formats count="1">
    <format dxfId="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28DC46-14AA-4D2E-AB7F-35BC0CE6DF2F}"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9" numFmtId="164"/>
  </dataFields>
  <formats count="1">
    <format dxfId="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2AAFE1-F179-4270-BC9D-57CC2F629CF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B9C820-0961-4CFD-9AA0-1CE977B2F28B}"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3600B4-9730-4D33-8D4B-273FDDE61AC3}"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formats count="2">
    <format dxfId="1">
      <pivotArea collapsedLevelsAreSubtotals="1" fieldPosition="0">
        <references count="1">
          <reference field="4" count="0"/>
        </references>
      </pivotArea>
    </format>
    <format dxfId="0">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14ECE5-B171-47F3-B9EB-5777E2B2190C}"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5E0716-E95E-4381-A027-7B9C772524E3}"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A8D3A0-9390-4E99-989F-D44997A84D74}"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46AC317-05FE-426C-A748-68E64EE670CF}" sourceName="Department">
  <pivotTables>
    <pivotTable tabId="18" name="PivotTable2"/>
    <pivotTable tabId="17" name="PivotTable1"/>
    <pivotTable tabId="15" name="PivotTable4"/>
    <pivotTable tabId="14" name="PivotTable1"/>
    <pivotTable tabId="16" name="PivotTable5"/>
    <pivotTable tabId="19" name="PivotTable1"/>
    <pivotTable tabId="11" name="PivotTable15"/>
    <pivotTable tabId="11" name="PivotTable16"/>
    <pivotTable tabId="21" name="PivotTable4"/>
    <pivotTable tabId="21" name="PivotTable5"/>
    <pivotTable tabId="21" name="PivotTable6"/>
  </pivotTables>
  <data>
    <tabular pivotCacheId="126649219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B986F963-B223-427E-B3A6-D50912CA00DB}" sourceName="Education Field">
  <pivotTables>
    <pivotTable tabId="18" name="PivotTable2"/>
    <pivotTable tabId="17" name="PivotTable1"/>
    <pivotTable tabId="15" name="PivotTable4"/>
    <pivotTable tabId="14" name="PivotTable1"/>
    <pivotTable tabId="16" name="PivotTable5"/>
    <pivotTable tabId="19" name="PivotTable1"/>
    <pivotTable tabId="11" name="PivotTable15"/>
    <pivotTable tabId="11" name="PivotTable16"/>
    <pivotTable tabId="21" name="PivotTable4"/>
    <pivotTable tabId="21" name="PivotTable5"/>
    <pivotTable tabId="21" name="PivotTable6"/>
  </pivotTables>
  <data>
    <tabular pivotCacheId="1266492197">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F3ECD2D-129D-43C1-865F-9541C5349188}" sourceName="Gender">
  <pivotTables>
    <pivotTable tabId="21" name="PivotTable4"/>
    <pivotTable tabId="21" name="PivotTable6"/>
    <pivotTable tabId="11" name="PivotTable16"/>
    <pivotTable tabId="11" name="PivotTable15"/>
    <pivotTable tabId="19" name="PivotTable1"/>
    <pivotTable tabId="16" name="PivotTable5"/>
    <pivotTable tabId="15" name="PivotTable4"/>
    <pivotTable tabId="17" name="PivotTable1"/>
    <pivotTable tabId="18" name="PivotTable2"/>
    <pivotTable tabId="14" name="PivotTable1"/>
    <pivotTable tabId="21" name="PivotTable5"/>
  </pivotTables>
  <data>
    <tabular pivotCacheId="126649219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7DD59F72-6A95-48E1-A19A-8EDB15E3A910}" cache="Slicer_Gender1"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4EDC57C-C7C4-4B83-A723-AB957F91C74D}" cache="Slicer_Department" caption="Department" rowHeight="260350"/>
  <slicer name="Education Field" xr10:uid="{9BDAE25D-2377-4755-B429-78CEB88D1E03}" cache="Slicer_Education_Field"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7CF8376-A690-4CAF-9017-2D020B4665C4}" cache="Slicer_Gender1" caption="Gender"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7A9F6A24-F44E-4DB7-98AF-C057584D209C}" cache="Slicer_Department" style="Slicer " rowHeight="260350"/>
  <slicer name="Education Field 1" xr10:uid="{0EF19342-19FC-45AD-A908-10D732737F66}" cache="Slicer_Education_Field" style="Slicer " rowHeight="260350"/>
  <slicer name="Gender 1" xr10:uid="{878C283B-5543-4FA3-940F-0ACA5AE664E2}" cache="Slicer_Gender1" columnCount="2" style="Slicer "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workbookViewId="0">
      <selection activeCell="E30" sqref="E30"/>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80936-F69E-4901-86E2-4D28F1F9ADAA}">
  <dimension ref="A3:B15"/>
  <sheetViews>
    <sheetView workbookViewId="0">
      <selection activeCell="B15" sqref="B15"/>
    </sheetView>
  </sheetViews>
  <sheetFormatPr defaultRowHeight="15.6" x14ac:dyDescent="0.3"/>
  <cols>
    <col min="1" max="1" width="23.59765625" bestFit="1" customWidth="1"/>
    <col min="2" max="2" width="10.296875" bestFit="1" customWidth="1"/>
  </cols>
  <sheetData>
    <row r="3" spans="1:2" x14ac:dyDescent="0.3">
      <c r="A3" s="5" t="s">
        <v>1564</v>
      </c>
    </row>
    <row r="4" spans="1:2" x14ac:dyDescent="0.3">
      <c r="A4" s="6">
        <v>1470</v>
      </c>
      <c r="B4">
        <f>GETPIVOTDATA("Employee Number",$A$3)</f>
        <v>1470</v>
      </c>
    </row>
    <row r="6" spans="1:2" x14ac:dyDescent="0.3">
      <c r="A6" s="5" t="s">
        <v>1565</v>
      </c>
    </row>
    <row r="7" spans="1:2" x14ac:dyDescent="0.3">
      <c r="A7" s="6">
        <v>237</v>
      </c>
      <c r="B7">
        <f>GETPIVOTDATA("CF_attrition counts",$A$6)</f>
        <v>237</v>
      </c>
    </row>
    <row r="9" spans="1:2" x14ac:dyDescent="0.3">
      <c r="A9" s="5" t="s">
        <v>1566</v>
      </c>
    </row>
    <row r="10" spans="1:2" x14ac:dyDescent="0.3">
      <c r="A10" s="6">
        <v>36.923809523809524</v>
      </c>
      <c r="B10" s="29">
        <f>GETPIVOTDATA("Age",$A$9)</f>
        <v>36.923809523809524</v>
      </c>
    </row>
    <row r="12" spans="1:2" x14ac:dyDescent="0.3">
      <c r="A12" s="16" t="s">
        <v>1567</v>
      </c>
      <c r="B12" s="16">
        <f>B4-B7</f>
        <v>1233</v>
      </c>
    </row>
    <row r="15" spans="1:2" x14ac:dyDescent="0.3">
      <c r="A15" s="16" t="s">
        <v>1568</v>
      </c>
      <c r="B15" s="8">
        <f>B7/B4</f>
        <v>0.16122448979591836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1.19921875" defaultRowHeight="15" customHeight="1" x14ac:dyDescent="0.3"/>
  <cols>
    <col min="1" max="26" width="8.59765625" customWidth="1"/>
  </cols>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70F4C-C69B-4681-AF7D-C5CD72ADA4F2}">
  <dimension ref="A3:E26"/>
  <sheetViews>
    <sheetView showGridLines="0" workbookViewId="0">
      <selection activeCell="E3" sqref="E3"/>
    </sheetView>
  </sheetViews>
  <sheetFormatPr defaultRowHeight="15.6" x14ac:dyDescent="0.3"/>
  <cols>
    <col min="1" max="1" width="23.59765625" bestFit="1" customWidth="1"/>
  </cols>
  <sheetData>
    <row r="3" spans="1:5" x14ac:dyDescent="0.3">
      <c r="A3" s="5" t="s">
        <v>1554</v>
      </c>
      <c r="E3">
        <v>3</v>
      </c>
    </row>
    <row r="4" spans="1:5" x14ac:dyDescent="0.3">
      <c r="A4" s="9">
        <v>2.6265306122448981</v>
      </c>
    </row>
    <row r="6" spans="1:5" x14ac:dyDescent="0.3">
      <c r="A6" t="s">
        <v>1555</v>
      </c>
      <c r="B6" s="7">
        <f>GETPIVOTDATA("Job Satisfaction",$A$3)</f>
        <v>2.6265306122448981</v>
      </c>
      <c r="C6">
        <f>B6/4</f>
        <v>0.65663265306122454</v>
      </c>
    </row>
    <row r="7" spans="1:5" x14ac:dyDescent="0.3">
      <c r="A7" t="s">
        <v>1556</v>
      </c>
      <c r="B7" s="7">
        <f>4-B6</f>
        <v>1.3734693877551019</v>
      </c>
      <c r="C7">
        <f>B7/4</f>
        <v>0.34336734693877546</v>
      </c>
    </row>
    <row r="9" spans="1:5" x14ac:dyDescent="0.3">
      <c r="A9" s="2"/>
      <c r="B9" s="3"/>
      <c r="C9" s="4"/>
    </row>
    <row r="10" spans="1:5" x14ac:dyDescent="0.3">
      <c r="A10" s="10"/>
      <c r="B10" s="11"/>
      <c r="C10" s="12"/>
    </row>
    <row r="11" spans="1:5" x14ac:dyDescent="0.3">
      <c r="A11" s="10"/>
      <c r="B11" s="11"/>
      <c r="C11" s="12"/>
    </row>
    <row r="12" spans="1:5" x14ac:dyDescent="0.3">
      <c r="A12" s="10"/>
      <c r="B12" s="11"/>
      <c r="C12" s="12"/>
    </row>
    <row r="13" spans="1:5" x14ac:dyDescent="0.3">
      <c r="A13" s="10"/>
      <c r="B13" s="11"/>
      <c r="C13" s="12"/>
    </row>
    <row r="14" spans="1:5" x14ac:dyDescent="0.3">
      <c r="A14" s="10"/>
      <c r="B14" s="11"/>
      <c r="C14" s="12"/>
    </row>
    <row r="15" spans="1:5" x14ac:dyDescent="0.3">
      <c r="A15" s="10"/>
      <c r="B15" s="11"/>
      <c r="C15" s="12"/>
    </row>
    <row r="16" spans="1:5" x14ac:dyDescent="0.3">
      <c r="A16" s="10"/>
      <c r="B16" s="11"/>
      <c r="C16" s="12"/>
    </row>
    <row r="17" spans="1:3" x14ac:dyDescent="0.3">
      <c r="A17" s="10"/>
      <c r="B17" s="11"/>
      <c r="C17" s="12"/>
    </row>
    <row r="18" spans="1:3" x14ac:dyDescent="0.3">
      <c r="A18" s="10"/>
      <c r="B18" s="11"/>
      <c r="C18" s="12"/>
    </row>
    <row r="19" spans="1:3" x14ac:dyDescent="0.3">
      <c r="A19" s="10"/>
      <c r="B19" s="11"/>
      <c r="C19" s="12"/>
    </row>
    <row r="20" spans="1:3" x14ac:dyDescent="0.3">
      <c r="A20" s="10"/>
      <c r="B20" s="11"/>
      <c r="C20" s="12"/>
    </row>
    <row r="21" spans="1:3" x14ac:dyDescent="0.3">
      <c r="A21" s="10"/>
      <c r="B21" s="11"/>
      <c r="C21" s="12"/>
    </row>
    <row r="22" spans="1:3" x14ac:dyDescent="0.3">
      <c r="A22" s="10"/>
      <c r="B22" s="11"/>
      <c r="C22" s="12"/>
    </row>
    <row r="23" spans="1:3" x14ac:dyDescent="0.3">
      <c r="A23" s="10"/>
      <c r="B23" s="11"/>
      <c r="C23" s="12"/>
    </row>
    <row r="24" spans="1:3" x14ac:dyDescent="0.3">
      <c r="A24" s="10"/>
      <c r="B24" s="11"/>
      <c r="C24" s="12"/>
    </row>
    <row r="25" spans="1:3" x14ac:dyDescent="0.3">
      <c r="A25" s="10"/>
      <c r="B25" s="11"/>
      <c r="C25" s="12"/>
    </row>
    <row r="26" spans="1:3" x14ac:dyDescent="0.3">
      <c r="A26" s="13"/>
      <c r="B26" s="14"/>
      <c r="C26" s="15"/>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A2553-4F79-4CD8-A0B5-F727719CD174}">
  <dimension ref="A3:B9"/>
  <sheetViews>
    <sheetView workbookViewId="0">
      <selection activeCell="B7" sqref="B7"/>
    </sheetView>
  </sheetViews>
  <sheetFormatPr defaultRowHeight="15.6" x14ac:dyDescent="0.3"/>
  <cols>
    <col min="1" max="1" width="16" bestFit="1" customWidth="1"/>
    <col min="2" max="2" width="22.796875" bestFit="1" customWidth="1"/>
  </cols>
  <sheetData>
    <row r="3" spans="1:2" x14ac:dyDescent="0.3">
      <c r="A3" s="18" t="s">
        <v>1557</v>
      </c>
      <c r="B3" s="5" t="s">
        <v>1560</v>
      </c>
    </row>
    <row r="4" spans="1:2" x14ac:dyDescent="0.3">
      <c r="A4" s="19" t="s">
        <v>134</v>
      </c>
      <c r="B4" s="20">
        <v>5</v>
      </c>
    </row>
    <row r="5" spans="1:2" x14ac:dyDescent="0.3">
      <c r="A5" s="21" t="s">
        <v>65</v>
      </c>
      <c r="B5" s="22">
        <v>31</v>
      </c>
    </row>
    <row r="6" spans="1:2" x14ac:dyDescent="0.3">
      <c r="A6" s="21" t="s">
        <v>55</v>
      </c>
      <c r="B6" s="22">
        <v>44</v>
      </c>
    </row>
    <row r="7" spans="1:2" x14ac:dyDescent="0.3">
      <c r="A7" s="21" t="s">
        <v>71</v>
      </c>
      <c r="B7" s="22">
        <v>58</v>
      </c>
    </row>
    <row r="8" spans="1:2" x14ac:dyDescent="0.3">
      <c r="A8" s="21" t="s">
        <v>77</v>
      </c>
      <c r="B8" s="22">
        <v>99</v>
      </c>
    </row>
    <row r="9" spans="1:2" x14ac:dyDescent="0.3">
      <c r="A9" s="23" t="s">
        <v>1558</v>
      </c>
      <c r="B9" s="6">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87809-1691-4061-AB84-376317BF5B1C}">
  <dimension ref="A3:E13"/>
  <sheetViews>
    <sheetView workbookViewId="0">
      <selection activeCell="D20" sqref="D20"/>
    </sheetView>
  </sheetViews>
  <sheetFormatPr defaultRowHeight="15.6" x14ac:dyDescent="0.3"/>
  <cols>
    <col min="1" max="1" width="23.296875" bestFit="1" customWidth="1"/>
    <col min="2" max="2" width="22.796875" bestFit="1" customWidth="1"/>
    <col min="4" max="4" width="23.59765625" customWidth="1"/>
    <col min="5" max="5" width="14.69921875" customWidth="1"/>
  </cols>
  <sheetData>
    <row r="3" spans="1:5" x14ac:dyDescent="0.3">
      <c r="A3" s="18" t="s">
        <v>1557</v>
      </c>
      <c r="B3" s="5" t="s">
        <v>1560</v>
      </c>
      <c r="D3" s="16" t="s">
        <v>9</v>
      </c>
      <c r="E3" s="25" t="s">
        <v>1561</v>
      </c>
    </row>
    <row r="4" spans="1:5" x14ac:dyDescent="0.3">
      <c r="A4" s="19" t="s">
        <v>83</v>
      </c>
      <c r="B4" s="20">
        <v>9</v>
      </c>
      <c r="D4" t="str">
        <f>A4</f>
        <v>Healthcare Representative</v>
      </c>
      <c r="E4">
        <f>GETPIVOTDATA("CF_attrition count",$A$3,"Job Role",A4)</f>
        <v>9</v>
      </c>
    </row>
    <row r="5" spans="1:5" x14ac:dyDescent="0.3">
      <c r="A5" s="21" t="s">
        <v>163</v>
      </c>
      <c r="B5" s="22">
        <v>12</v>
      </c>
      <c r="D5" t="str">
        <f t="shared" ref="D5:D12" si="0">A5</f>
        <v>Human Resources</v>
      </c>
      <c r="E5">
        <f t="shared" ref="E5:E12" si="1">GETPIVOTDATA("CF_attrition count",$A$3,"Job Role",A5)</f>
        <v>12</v>
      </c>
    </row>
    <row r="6" spans="1:5" x14ac:dyDescent="0.3">
      <c r="A6" s="21" t="s">
        <v>68</v>
      </c>
      <c r="B6" s="22">
        <v>62</v>
      </c>
      <c r="D6" t="str">
        <f t="shared" si="0"/>
        <v>Laboratory Technician</v>
      </c>
      <c r="E6">
        <f t="shared" si="1"/>
        <v>62</v>
      </c>
    </row>
    <row r="7" spans="1:5" x14ac:dyDescent="0.3">
      <c r="A7" s="21" t="s">
        <v>95</v>
      </c>
      <c r="B7" s="22">
        <v>5</v>
      </c>
      <c r="D7" t="str">
        <f t="shared" si="0"/>
        <v>Manager</v>
      </c>
      <c r="E7">
        <f t="shared" si="1"/>
        <v>5</v>
      </c>
    </row>
    <row r="8" spans="1:5" x14ac:dyDescent="0.3">
      <c r="A8" s="21" t="s">
        <v>81</v>
      </c>
      <c r="B8" s="22">
        <v>10</v>
      </c>
      <c r="D8" t="str">
        <f t="shared" si="0"/>
        <v>Manufacturing Director</v>
      </c>
      <c r="E8">
        <f t="shared" si="1"/>
        <v>10</v>
      </c>
    </row>
    <row r="9" spans="1:5" x14ac:dyDescent="0.3">
      <c r="A9" s="21" t="s">
        <v>101</v>
      </c>
      <c r="B9" s="22">
        <v>2</v>
      </c>
      <c r="D9" t="str">
        <f t="shared" si="0"/>
        <v>Research Director</v>
      </c>
      <c r="E9">
        <f t="shared" si="1"/>
        <v>2</v>
      </c>
    </row>
    <row r="10" spans="1:5" x14ac:dyDescent="0.3">
      <c r="A10" s="21" t="s">
        <v>63</v>
      </c>
      <c r="B10" s="22">
        <v>47</v>
      </c>
      <c r="D10" t="str">
        <f t="shared" si="0"/>
        <v>Research Scientist</v>
      </c>
      <c r="E10">
        <f t="shared" si="1"/>
        <v>47</v>
      </c>
    </row>
    <row r="11" spans="1:5" x14ac:dyDescent="0.3">
      <c r="A11" s="21" t="s">
        <v>52</v>
      </c>
      <c r="B11" s="22">
        <v>57</v>
      </c>
      <c r="D11" t="str">
        <f t="shared" si="0"/>
        <v>Sales Executive</v>
      </c>
      <c r="E11">
        <f t="shared" si="1"/>
        <v>57</v>
      </c>
    </row>
    <row r="12" spans="1:5" x14ac:dyDescent="0.3">
      <c r="A12" s="21" t="s">
        <v>99</v>
      </c>
      <c r="B12" s="22">
        <v>33</v>
      </c>
      <c r="D12" t="str">
        <f t="shared" si="0"/>
        <v>Sales Representative</v>
      </c>
      <c r="E12">
        <f t="shared" si="1"/>
        <v>33</v>
      </c>
    </row>
    <row r="13" spans="1:5" x14ac:dyDescent="0.3">
      <c r="A13" s="23" t="s">
        <v>1558</v>
      </c>
      <c r="B13" s="6">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F6614-7643-4EEA-BA15-3C468F8FEC64}">
  <dimension ref="A3:C7"/>
  <sheetViews>
    <sheetView workbookViewId="0">
      <selection activeCell="B7" sqref="B7"/>
    </sheetView>
  </sheetViews>
  <sheetFormatPr defaultRowHeight="15.6" x14ac:dyDescent="0.3"/>
  <cols>
    <col min="1" max="1" width="12.19921875" bestFit="1" customWidth="1"/>
    <col min="2" max="2" width="22.796875" bestFit="1" customWidth="1"/>
  </cols>
  <sheetData>
    <row r="3" spans="1:3" x14ac:dyDescent="0.3">
      <c r="A3" s="18" t="s">
        <v>1557</v>
      </c>
      <c r="B3" s="5" t="s">
        <v>1560</v>
      </c>
    </row>
    <row r="4" spans="1:3" x14ac:dyDescent="0.3">
      <c r="A4" s="19" t="s">
        <v>161</v>
      </c>
      <c r="B4" s="26">
        <v>5.0632911392405063E-2</v>
      </c>
      <c r="C4">
        <f>GETPIVOTDATA("CF_attrition count",$A$3,"Department","HR")</f>
        <v>5.0632911392405063E-2</v>
      </c>
    </row>
    <row r="5" spans="1:3" x14ac:dyDescent="0.3">
      <c r="A5" s="21" t="s">
        <v>60</v>
      </c>
      <c r="B5" s="27">
        <v>0.56118143459915615</v>
      </c>
      <c r="C5">
        <f>GETPIVOTDATA("CF_attrition count",$A$3,"Department","R&amp;D")</f>
        <v>0.56118143459915615</v>
      </c>
    </row>
    <row r="6" spans="1:3" x14ac:dyDescent="0.3">
      <c r="A6" s="21" t="s">
        <v>48</v>
      </c>
      <c r="B6" s="27">
        <v>0.3881856540084388</v>
      </c>
      <c r="C6">
        <f>GETPIVOTDATA("CF_attrition count",$A$3,"Department","Sales")</f>
        <v>0.3881856540084388</v>
      </c>
    </row>
    <row r="7" spans="1:3" x14ac:dyDescent="0.3">
      <c r="A7" s="23" t="s">
        <v>1558</v>
      </c>
      <c r="B7" s="28">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7CFE2-4D8F-492F-ADD2-4E8D22DD2922}">
  <dimension ref="A3:B9"/>
  <sheetViews>
    <sheetView workbookViewId="0">
      <selection activeCell="B6" sqref="B6"/>
    </sheetView>
  </sheetViews>
  <sheetFormatPr defaultRowHeight="15.6" x14ac:dyDescent="0.3"/>
  <cols>
    <col min="1" max="1" width="12.19921875" bestFit="1" customWidth="1"/>
    <col min="2" max="2" width="22.796875" bestFit="1" customWidth="1"/>
  </cols>
  <sheetData>
    <row r="3" spans="1:2" x14ac:dyDescent="0.3">
      <c r="A3" s="18" t="s">
        <v>1557</v>
      </c>
      <c r="B3" s="5" t="s">
        <v>1560</v>
      </c>
    </row>
    <row r="4" spans="1:2" x14ac:dyDescent="0.3">
      <c r="A4" s="19" t="s">
        <v>69</v>
      </c>
      <c r="B4" s="20">
        <v>112</v>
      </c>
    </row>
    <row r="5" spans="1:2" x14ac:dyDescent="0.3">
      <c r="A5" s="21" t="s">
        <v>46</v>
      </c>
      <c r="B5" s="22">
        <v>51</v>
      </c>
    </row>
    <row r="6" spans="1:2" x14ac:dyDescent="0.3">
      <c r="A6" s="21" t="s">
        <v>92</v>
      </c>
      <c r="B6" s="22">
        <v>38</v>
      </c>
    </row>
    <row r="7" spans="1:2" x14ac:dyDescent="0.3">
      <c r="A7" s="21" t="s">
        <v>58</v>
      </c>
      <c r="B7" s="22">
        <v>25</v>
      </c>
    </row>
    <row r="8" spans="1:2" x14ac:dyDescent="0.3">
      <c r="A8" s="21" t="s">
        <v>75</v>
      </c>
      <c r="B8" s="22">
        <v>11</v>
      </c>
    </row>
    <row r="9" spans="1:2" x14ac:dyDescent="0.3">
      <c r="A9" s="23" t="s">
        <v>1558</v>
      </c>
      <c r="B9" s="6">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55C96-376A-4817-9203-3F54ADDD1BF4}">
  <dimension ref="A3:C9"/>
  <sheetViews>
    <sheetView workbookViewId="0">
      <selection activeCell="X33" sqref="X33"/>
    </sheetView>
  </sheetViews>
  <sheetFormatPr defaultRowHeight="15.6" x14ac:dyDescent="0.3"/>
  <cols>
    <col min="1" max="1" width="12.19921875" bestFit="1" customWidth="1"/>
    <col min="2" max="2" width="22.796875" bestFit="1" customWidth="1"/>
  </cols>
  <sheetData>
    <row r="3" spans="1:3" x14ac:dyDescent="0.3">
      <c r="A3" s="18" t="s">
        <v>1557</v>
      </c>
      <c r="B3" s="5" t="s">
        <v>1559</v>
      </c>
    </row>
    <row r="4" spans="1:3" x14ac:dyDescent="0.3">
      <c r="A4" s="19" t="s">
        <v>51</v>
      </c>
      <c r="B4" s="20">
        <v>588</v>
      </c>
    </row>
    <row r="5" spans="1:3" x14ac:dyDescent="0.3">
      <c r="A5" s="21" t="s">
        <v>62</v>
      </c>
      <c r="B5" s="22">
        <v>882</v>
      </c>
    </row>
    <row r="6" spans="1:3" x14ac:dyDescent="0.3">
      <c r="A6" s="23" t="s">
        <v>1558</v>
      </c>
      <c r="B6" s="6">
        <v>1470</v>
      </c>
    </row>
    <row r="8" spans="1:3" x14ac:dyDescent="0.3">
      <c r="A8" s="24" t="s">
        <v>51</v>
      </c>
      <c r="B8" s="20">
        <f>IFERROR(GETPIVOTDATA("Employee Count",$A$3,"Gender","Female"),0)</f>
        <v>588</v>
      </c>
      <c r="C8" s="8">
        <f>IFERROR(B8/($B$8+$B$9),0)</f>
        <v>0.4</v>
      </c>
    </row>
    <row r="9" spans="1:3" x14ac:dyDescent="0.3">
      <c r="A9" s="24" t="s">
        <v>62</v>
      </c>
      <c r="B9" s="22">
        <f>IFERROR(GETPIVOTDATA("Employee Count",$A$3,"Gender","Male"),0)</f>
        <v>882</v>
      </c>
      <c r="C9" s="8">
        <f>IFERROR(B9/($B$8+$B$9),0)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E9EC7-8036-4E8A-8544-E3C3F9EB8E92}">
  <dimension ref="A3:E7"/>
  <sheetViews>
    <sheetView workbookViewId="0">
      <selection activeCell="D15" sqref="D15"/>
    </sheetView>
  </sheetViews>
  <sheetFormatPr defaultRowHeight="15.6" x14ac:dyDescent="0.3"/>
  <cols>
    <col min="1" max="1" width="12.19921875" bestFit="1" customWidth="1"/>
    <col min="2" max="2" width="16" bestFit="1" customWidth="1"/>
    <col min="4" max="4" width="12.69921875" customWidth="1"/>
  </cols>
  <sheetData>
    <row r="3" spans="1:5" x14ac:dyDescent="0.3">
      <c r="A3" s="18" t="s">
        <v>1557</v>
      </c>
      <c r="B3" s="5" t="s">
        <v>1562</v>
      </c>
      <c r="D3" t="s">
        <v>1563</v>
      </c>
      <c r="E3" t="s">
        <v>0</v>
      </c>
    </row>
    <row r="4" spans="1:5" x14ac:dyDescent="0.3">
      <c r="A4" s="19" t="s">
        <v>79</v>
      </c>
      <c r="B4" s="20">
        <v>327</v>
      </c>
      <c r="D4" t="str">
        <f>A4</f>
        <v>Divorced</v>
      </c>
      <c r="E4">
        <f>GETPIVOTDATA("Attrition",$A$3,"Marital Status",A4)</f>
        <v>327</v>
      </c>
    </row>
    <row r="5" spans="1:5" x14ac:dyDescent="0.3">
      <c r="A5" s="21" t="s">
        <v>53</v>
      </c>
      <c r="B5" s="22">
        <v>470</v>
      </c>
      <c r="D5" t="str">
        <f>A5</f>
        <v>Single</v>
      </c>
      <c r="E5">
        <f>GETPIVOTDATA("Attrition",$A$3,"Marital Status",A5)</f>
        <v>470</v>
      </c>
    </row>
    <row r="6" spans="1:5" x14ac:dyDescent="0.3">
      <c r="A6" s="21" t="s">
        <v>64</v>
      </c>
      <c r="B6" s="22">
        <v>673</v>
      </c>
      <c r="D6" t="str">
        <f>A6</f>
        <v>Married</v>
      </c>
      <c r="E6">
        <f>GETPIVOTDATA("Attrition",$A$3,"Marital Status",A6)</f>
        <v>673</v>
      </c>
    </row>
    <row r="7" spans="1:5" x14ac:dyDescent="0.3">
      <c r="A7" s="23" t="s">
        <v>1558</v>
      </c>
      <c r="B7" s="6">
        <v>1470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sheetPr>
  <dimension ref="Y18"/>
  <sheetViews>
    <sheetView showGridLines="0" tabSelected="1" zoomScale="81" zoomScaleNormal="81" workbookViewId="0">
      <selection activeCell="Y11" sqref="Y11"/>
    </sheetView>
  </sheetViews>
  <sheetFormatPr defaultColWidth="11.19921875" defaultRowHeight="15" customHeight="1" x14ac:dyDescent="0.3"/>
  <cols>
    <col min="1" max="26" width="8.59765625" customWidth="1"/>
  </cols>
  <sheetData>
    <row r="18" spans="25:25" ht="15" customHeight="1" x14ac:dyDescent="0.3">
      <c r="Y18" s="17"/>
    </row>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KPI</vt:lpstr>
      <vt:lpstr>Images</vt:lpstr>
      <vt:lpstr>Rating</vt:lpstr>
      <vt:lpstr>education</vt:lpstr>
      <vt:lpstr>job</vt:lpstr>
      <vt:lpstr>dept</vt:lpstr>
      <vt:lpstr>age</vt:lpstr>
      <vt:lpstr>gender</vt:lpstr>
      <vt:lpstr>marital status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Radhika Bhedurkar</cp:lastModifiedBy>
  <dcterms:created xsi:type="dcterms:W3CDTF">2022-12-29T16:02:46Z</dcterms:created>
  <dcterms:modified xsi:type="dcterms:W3CDTF">2025-11-30T13:48:32Z</dcterms:modified>
</cp:coreProperties>
</file>